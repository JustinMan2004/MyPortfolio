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hannl-my.sharepoint.com/personal/j_man_student_han_nl/Documents/"/>
    </mc:Choice>
  </mc:AlternateContent>
  <xr:revisionPtr revIDLastSave="0" documentId="8_{C28E7698-26A3-4A1D-9E23-5B664D4A05F5}" xr6:coauthVersionLast="47" xr6:coauthVersionMax="47" xr10:uidLastSave="{00000000-0000-0000-0000-000000000000}"/>
  <bookViews>
    <workbookView xWindow="-108" yWindow="-108" windowWidth="23256" windowHeight="12456" tabRatio="500" firstSheet="1" activeTab="1" xr2:uid="{00000000-000D-0000-FFFF-FFFF00000000}"/>
  </bookViews>
  <sheets>
    <sheet name="Dashboard" sheetId="1" r:id="rId1"/>
    <sheet name="Logboek" sheetId="2" r:id="rId2"/>
    <sheet name="Lijsten" sheetId="3" state="hidden" r:id="rId3"/>
  </sheets>
  <definedNames>
    <definedName name="_xlnm.Print_Area" localSheetId="1">Logboek!$A:$D</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7" i="1" l="1"/>
  <c r="K6" i="1"/>
  <c r="J6" i="1"/>
  <c r="I6" i="1"/>
  <c r="H6" i="1"/>
  <c r="G6" i="1"/>
  <c r="F6" i="1"/>
  <c r="E6" i="1"/>
  <c r="D6" i="1"/>
  <c r="K5" i="1"/>
  <c r="J5" i="1"/>
  <c r="I5" i="1"/>
  <c r="H5" i="1"/>
  <c r="G5" i="1"/>
  <c r="F5" i="1"/>
  <c r="E5" i="1"/>
  <c r="D5" i="1"/>
  <c r="K4" i="1"/>
  <c r="J4" i="1"/>
  <c r="I4" i="1"/>
  <c r="H4" i="1"/>
  <c r="G4" i="1"/>
  <c r="F4" i="1"/>
  <c r="E4" i="1"/>
  <c r="D4" i="1"/>
  <c r="K3" i="1"/>
  <c r="J3" i="1"/>
  <c r="I3" i="1"/>
  <c r="H3" i="1"/>
  <c r="G3" i="1"/>
  <c r="F3" i="1"/>
  <c r="E3" i="1"/>
  <c r="D3" i="1"/>
  <c r="K2" i="1"/>
  <c r="J2" i="1"/>
  <c r="J7" i="1" s="1"/>
  <c r="I2" i="1"/>
  <c r="H2" i="1"/>
  <c r="H7" i="1" s="1"/>
  <c r="G2" i="1"/>
  <c r="F2" i="1"/>
  <c r="E2" i="1"/>
  <c r="D2" i="1"/>
  <c r="G7" i="1" l="1"/>
  <c r="C3" i="1"/>
  <c r="D7" i="1"/>
  <c r="F7" i="1"/>
  <c r="C6" i="1"/>
  <c r="C4" i="1"/>
  <c r="K7" i="1"/>
  <c r="C2" i="1"/>
  <c r="C5" i="1"/>
  <c r="E7" i="1"/>
  <c r="I7" i="1"/>
  <c r="C7" i="1" l="1"/>
</calcChain>
</file>

<file path=xl/sharedStrings.xml><?xml version="1.0" encoding="utf-8"?>
<sst xmlns="http://schemas.openxmlformats.org/spreadsheetml/2006/main" count="462" uniqueCount="87">
  <si>
    <t>LU</t>
  </si>
  <si>
    <t>Doel</t>
  </si>
  <si>
    <t>Behaald</t>
  </si>
  <si>
    <t>Sprint 1</t>
  </si>
  <si>
    <t>Sprint 2</t>
  </si>
  <si>
    <t>Sprint 3</t>
  </si>
  <si>
    <t>Sprint 4</t>
  </si>
  <si>
    <t>Sprint 5</t>
  </si>
  <si>
    <t>Sprint 6</t>
  </si>
  <si>
    <t>Sprint 7</t>
  </si>
  <si>
    <t>Sprint 8</t>
  </si>
  <si>
    <t>LU 1: Impact</t>
  </si>
  <si>
    <t>LU 2: Oplossing</t>
  </si>
  <si>
    <t>LU 3: Ethiek</t>
  </si>
  <si>
    <t>LU 4: Tools</t>
  </si>
  <si>
    <t>LU 5: Zelfsturing</t>
  </si>
  <si>
    <t>Totaal</t>
  </si>
  <si>
    <t xml:space="preserve">Portfolio </t>
  </si>
  <si>
    <t>vul hier je portfolio site url in</t>
  </si>
  <si>
    <t>SPRINT 1</t>
  </si>
  <si>
    <t xml:space="preserve">1. PLANNING (User Stories) </t>
  </si>
  <si>
    <t>Plannen met je plannings Agent</t>
  </si>
  <si>
    <t>Story</t>
  </si>
  <si>
    <t>Story Omschrijving</t>
  </si>
  <si>
    <t>Acceptatie Criteria</t>
  </si>
  <si>
    <t>Kwaliteitscriteria</t>
  </si>
  <si>
    <t>RS</t>
  </si>
  <si>
    <t>Als student Commerciële Economie wil ik onderzoeken welke impact AI heeft op het beroep accountmanager, zodat ik weet welke werkzaamheden veranderen en welke AI-vaardigheden ik moet ontwikkelen.</t>
  </si>
  <si>
    <t>1. Het onderzoek beschrijft de huidige werkzaamheden van een accountmanager.
2. Er wordt onderscheid gemaakt tussen taken die AI overneemt, ondersteunt en niet kan vervangen.
3. Minimaal drie AI-toepassingen binnen accountmanagement worden onderzocht en vergeleken: leadgeneratie en leadkwalificatie, voorbereiding van klantgesprekken en gespreksverwerking met CRM-automatisering.</t>
  </si>
  <si>
    <t>1. Beweringen worden onderbouwd met bronnen, voorbeelden of resultaten uit de eigen casus.
2. Vaste vergelijking: De drie toepassingen worden beoordeeld op tijdwinst, commerciële waarde, gebruiksgemak, betrouwbaarheid en risico’s.
3. Beroepsrelevantie: De conclusies worden vertaald naar minimaal vijf concrete AI-vaardigheden voor accountmanagers.</t>
  </si>
  <si>
    <t>LS</t>
  </si>
  <si>
    <t>Als toekomstige accountmanager wil ik leren hoe ik AI gebruik voor klantonderzoek, zodat ik betrouwbare klantinformatie kan verzamelen.</t>
  </si>
  <si>
    <t>1. Ik heb minimaal twee AI-tools uitgeprobeerd.
2. Ik heb met AI een klantonderzoek uitgevoerd.
3. Ik heb mijn prompts en resultaten opgeslagen.</t>
  </si>
  <si>
    <t>1. De gevonden informatie komt uit betrouwbare bronnen.
2. Belangrijke informatie is gecontroleerd.
3. Ik kan uitleggen welke tool en prompt het beste werkte.</t>
  </si>
  <si>
    <t>US</t>
  </si>
  <si>
    <t>Als student wil ik met AI een eigen portfoliowebsite maken, zodat ik mijn werk en bewijzen van de minor op één plek kan verzamelen en presenteren.</t>
  </si>
  <si>
    <t>1. Er is een werkende portfoliowebsite gemaakt met Google AI Studio.
2. De website bevat informatie over mijzelf en ruimte voor mijn leeruitkomsten en bewijzen.
3. De website kan worden aangepast en aangevuld met nieuwe bewijzen en leeruitkomsten.</t>
  </si>
  <si>
    <t>1. De website heeft een duidelijke en overzichtelijke indeling.
2. De belangrijkste onderdelen zijn makkelijk terug te vinden.
3. De vormgeving en inhoud zijn consistent, zodat de verschillende onderdelen van het portfolio één geheel vormen.</t>
  </si>
  <si>
    <t>Als student wil ik leren hoe ik mijn AI-gebouwde website via GitHub in Visual Studio Code kan gebruiken, zodat ik mijn code kan bewaren, bekijken en verder kan aanpassen.</t>
  </si>
  <si>
    <t>1. Mijn portfolio uit Google AI Studio is gekoppeld aan een GitHub-repository.
2. Ik heb het GitHub-project geopend in Visual Studio Code.
3. Ik kan mijn website lokaal starten en de bestanden/code bekijken.</t>
  </si>
  <si>
    <t>1. De actuele versie van mijn project staat correct opgeslagen in GitHub.
2. Ik kan uitleggen waarvoor Google AI Studio, GitHub en Visual Studio Code afzonderlijk worden gebruikt.
3. Ik kan aantonen dat het project vanuit Visual Studio Code lokaal werkt.</t>
  </si>
  <si>
    <t>Als &lt; &gt; ,wil ik &lt; &gt; ,zodat &lt; &gt;</t>
  </si>
  <si>
    <t xml:space="preserve">1. 
2. 
3. </t>
  </si>
  <si>
    <t>2. FEEDBACK (Ontvangen van anderen)</t>
  </si>
  <si>
    <t>Datum</t>
  </si>
  <si>
    <t>Van wie</t>
  </si>
  <si>
    <t>Feedback</t>
  </si>
  <si>
    <t>Jouw actie</t>
  </si>
  <si>
    <t>10-9-2026</t>
  </si>
  <si>
    <t>nog geen feedback mogen ontvangen: deze dag was ik ziek</t>
  </si>
  <si>
    <t>3. ZELFEVALUATIE (Mastery)</t>
  </si>
  <si>
    <t>Leeruitkomst</t>
  </si>
  <si>
    <t>Niveau</t>
  </si>
  <si>
    <t>Argumentatie en bewijs</t>
  </si>
  <si>
    <t>LU 1</t>
  </si>
  <si>
    <t>AI-impact op de beroepspraktijk analyseren en evalueren</t>
  </si>
  <si>
    <t>V</t>
  </si>
  <si>
    <t>Ik heb onderzocht wat de impact van AI is op mijn toekomstige beroep als accountmanager. Ik heb onderzocht waar AI kan ondersteunen, wat de menselijke kant van het beroep blijft en welke AI-vaardigheden belangrijk worden voor accountmanagers. Bewijs: Verslag Leeruitkomst 1 – AI-impact op het beroep Accountmanager, te vinden op mijn portfoliowebsite bij LU1.</t>
  </si>
  <si>
    <t>LU 2</t>
  </si>
  <si>
    <t>Praktijkgerichte AI oplossing ontwerpen, realiseren en presenteren</t>
  </si>
  <si>
    <t>Ik heb met Google AI Studio een eigen portfoliowebsite + online dagboek ontworpen en gebouwd waarin ik mijn werk, leeruitkomsten en bewijzen kan presenteren. Hiermee heb ik een werkend digitaal product gerealiseerd met behulp van AI. Bewijs: mijn werkende portfoliowebsite, opgenomen als bewijs bij Sprint 1.</t>
  </si>
  <si>
    <t>LU 3</t>
  </si>
  <si>
    <t>Ethiek en verantwoordelijk AI-gebruik beoordelen</t>
  </si>
  <si>
    <t>-</t>
  </si>
  <si>
    <t>LU 4</t>
  </si>
  <si>
    <t>AI Tools en technieken gebruiken</t>
  </si>
  <si>
    <t>Ik heb verschillende AI- en digitale tools toegepast. Met Google AI Studio heb ik mijn portfolio gebouwd, via GitHub heb ik de code opgeslagen en beheerd en in Visual Studio Code heb ik mijn project lokaal geopend en verder bewerkt. Daarnaast heb ik ChatGPT, Gemini en Perplexity gebruikt als ondersteuning bij het maken en verbeteren van prompts, het opzoeken van informatie en het krijgen van tips tijdens het proces. - Bewijs: Integraal Sprint Logboek, onderzoeksverslag AI-impact op accountmanagement, portfoliowebsite, GitHub-repository, gebruikte prompts en het feedback- en reflectieblok.
Bewijs: mijn portfoliowebsite, GitHub-repository, screenshots van Visual Studio Code en mijn gebruikte prompts en AI-tools, toegevoegd bij Sprint 1.</t>
  </si>
  <si>
    <t>LU 5</t>
  </si>
  <si>
    <t>Zelfstandig en zelfsturend werken</t>
  </si>
  <si>
    <t>Ik heb deze sprint zelfstandig mijn werkzaamheden gepland, uitgevoerd en bijgehouden. Ik heb zelf mijn stories opgesteld en verwerkt in mijn integraal sprintlogboek. Daarnaast heb ik zelfstandig mijn portfoliowebsite gebouwd, verschillende tools leren gebruiken en koppelen en mijn onderzoek naar de impact van AI op accountmanagement uitgevoerd. Wanneer ik tijdens het bouwen vastliep, heb ik AI-tools gebruikt om zelf oplossingen en uitleg te vinden.- Bewijs: Integraal Sprint Logboek, onderzoeksverslag AI-impact op accountmanagement, portfoliowebsite, GitHub-repository, gebruikte prompts</t>
  </si>
  <si>
    <t>4. REFLECTIE</t>
  </si>
  <si>
    <t>Wat heb je geleerd?</t>
  </si>
  <si>
    <t>Wat behoud je?</t>
  </si>
  <si>
    <t>Wat ga je anders doen?</t>
  </si>
  <si>
    <t>16-9-2026</t>
  </si>
  <si>
    <t>Ik heb geleerd hoe ik met AI een website kan bouwen en hoe Google AI Studio, GitHub en Visual Studio Code samenwerken. Ook heb ik meer geleerd over de invloed van AI op mijn toekomstige beroep als accountmanager.</t>
  </si>
  <si>
    <t>Ik wil blijven leren door zelf dingen uit te proberen en direct toe te passen. Vooral het werken met verschillende AI-tools en vervolgens kijken welke tool het beste werkt voor een bepaalde taak wil ik behouden. Ook wil ik mijn werk per sprint blijven vastleggen, zodat mijn ontwikkeling en bewijs duidelijk terug te zien zijn.</t>
  </si>
  <si>
    <t>Tijdens het feedbackmoment was ik ziek, waardoor ik geen feedback heb kunnen ophalen. In de volgende sprint wil ik daarom eerder feedback vragen aan medestudenten of mijn coach, zodat ik niet afhankelijk ben van één feedbackmoment en mijn werk tussentijds kan verbeteren.</t>
  </si>
  <si>
    <t>SPRINT 2</t>
  </si>
  <si>
    <t>1. PLANNING (User Stories)</t>
  </si>
  <si>
    <t>SPRINT 3</t>
  </si>
  <si>
    <t>SPRINT 4</t>
  </si>
  <si>
    <t>SPRINT 5</t>
  </si>
  <si>
    <t>SPRINT 6</t>
  </si>
  <si>
    <t>SPRINT 7</t>
  </si>
  <si>
    <t>SPRINT 8</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</si>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</sst>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2">
    <font>
      <sz val="11"/>
      <color theme="1"/>
      <name val="Calibri"/>
      <family val="2"/>
      <charset val="1"/>
    </font>
    <font>
      <b/>
      <sz val="11"/>
      <color theme="0"/>
      <name val="Calibri"/>
      <family val="2"/>
      <charset val="1"/>
    </font>
    <font>
      <b/>
      <u/>
      <sz val="11"/>
      <color theme="0"/>
      <name val="Calibri"/>
      <family val="2"/>
      <charset val="1"/>
    </font>
    <font>
      <u/>
      <sz val="11"/>
      <color theme="0"/>
      <name val="Calibri"/>
      <family val="2"/>
      <charset val="1"/>
    </font>
    <font>
      <b/>
      <sz val="11"/>
      <color theme="1"/>
      <name val="Calibri"/>
      <family val="2"/>
      <charset val="1"/>
    </font>
    <font>
      <b/>
      <sz val="13"/>
      <color rgb="FFFFFFFF"/>
      <name val="Arial"/>
      <family val="2"/>
    </font>
    <font>
      <sz val="10"/>
      <color rgb="FF000000"/>
      <name val="Arial"/>
      <family val="2"/>
    </font>
    <font>
      <b/>
      <sz val="11"/>
      <color rgb="FF1A1A1A"/>
      <name val="Arial"/>
      <family val="2"/>
    </font>
    <font>
      <b/>
      <sz val="10"/>
      <color rgb="FF000000"/>
      <name val="Arial"/>
      <family val="2"/>
    </font>
    <font>
      <u/>
      <sz val="11"/>
      <color theme="10"/>
      <name val="Calibri"/>
      <family val="2"/>
      <charset val="1"/>
    </font>
    <font>
      <b/>
      <sz val="11"/>
      <color theme="0"/>
      <name val="Calibri"/>
      <family val="2"/>
    </font>
    <font>
      <i/>
      <sz val="11"/>
      <color theme="0" tint="-0.34998626667073579"/>
      <name val="Calibri"/>
      <family val="2"/>
    </font>
  </fonts>
  <fills count="10">
    <fill>
      <patternFill patternType="none"/>
    </fill>
    <fill>
      <patternFill patternType="gray125"/>
    </fill>
    <fill>
      <patternFill patternType="solid">
        <fgColor rgb="FFC00000"/>
        <bgColor rgb="FF800000"/>
      </patternFill>
    </fill>
    <fill>
      <patternFill patternType="solid">
        <fgColor rgb="FFE6302B"/>
        <bgColor rgb="FFC00000"/>
      </patternFill>
    </fill>
    <fill>
      <patternFill patternType="solid">
        <fgColor rgb="FFFDF0F0"/>
        <bgColor rgb="FFEDF7FC"/>
      </patternFill>
    </fill>
    <fill>
      <patternFill patternType="solid">
        <fgColor rgb="FFFACAC9"/>
        <bgColor rgb="FFCCCCCC"/>
      </patternFill>
    </fill>
    <fill>
      <patternFill patternType="solid">
        <fgColor rgb="FF00A1E1"/>
        <bgColor rgb="FF008080"/>
      </patternFill>
    </fill>
    <fill>
      <patternFill patternType="solid">
        <fgColor rgb="FFEDF7FC"/>
        <bgColor rgb="FFFDF0F0"/>
      </patternFill>
    </fill>
    <fill>
      <patternFill patternType="solid">
        <fgColor rgb="FFB3E3F6"/>
        <bgColor rgb="FF99CCFF"/>
      </patternFill>
    </fill>
    <fill>
      <patternFill patternType="solid">
        <fgColor rgb="FFC00000"/>
        <bgColor indexed="64"/>
      </patternFill>
    </fill>
  </fills>
  <borders count="35">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rgb="FF888888"/>
      </left>
      <right style="medium">
        <color rgb="FF888888"/>
      </right>
      <top style="medium">
        <color rgb="FF888888"/>
      </top>
      <bottom style="medium">
        <color rgb="FF888888"/>
      </bottom>
      <diagonal/>
    </border>
    <border>
      <left style="thin">
        <color rgb="FFCCCCCC"/>
      </left>
      <right style="thin">
        <color rgb="FFCCCCCC"/>
      </right>
      <top style="thin">
        <color rgb="FFCCCCCC"/>
      </top>
      <bottom style="thin">
        <color rgb="FFCCCCCC"/>
      </bottom>
      <diagonal/>
    </border>
    <border>
      <left style="medium">
        <color rgb="FF444444"/>
      </left>
      <right style="thin">
        <color rgb="FF999999"/>
      </right>
      <top style="medium">
        <color rgb="FF444444"/>
      </top>
      <bottom style="thin">
        <color rgb="FF999999"/>
      </bottom>
      <diagonal/>
    </border>
    <border>
      <left style="thin">
        <color rgb="FF999999"/>
      </left>
      <right style="thin">
        <color rgb="FF999999"/>
      </right>
      <top style="medium">
        <color rgb="FF444444"/>
      </top>
      <bottom style="thin">
        <color rgb="FF999999"/>
      </bottom>
      <diagonal/>
    </border>
    <border>
      <left style="thin">
        <color rgb="FF999999"/>
      </left>
      <right style="medium">
        <color rgb="FF444444"/>
      </right>
      <top style="medium">
        <color rgb="FF444444"/>
      </top>
      <bottom style="thin">
        <color rgb="FF999999"/>
      </bottom>
      <diagonal/>
    </border>
    <border>
      <left style="medium">
        <color rgb="FF444444"/>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medium">
        <color rgb="FF444444"/>
      </right>
      <top style="thin">
        <color rgb="FF999999"/>
      </top>
      <bottom style="thin">
        <color rgb="FF999999"/>
      </bottom>
      <diagonal/>
    </border>
    <border>
      <left style="medium">
        <color rgb="FF444444"/>
      </left>
      <right style="thin">
        <color rgb="FF999999"/>
      </right>
      <top style="thin">
        <color rgb="FF999999"/>
      </top>
      <bottom style="medium">
        <color rgb="FF444444"/>
      </bottom>
      <diagonal/>
    </border>
    <border>
      <left style="thin">
        <color rgb="FF999999"/>
      </left>
      <right style="thin">
        <color rgb="FF999999"/>
      </right>
      <top style="thin">
        <color rgb="FF999999"/>
      </top>
      <bottom style="medium">
        <color rgb="FF444444"/>
      </bottom>
      <diagonal/>
    </border>
    <border>
      <left style="thin">
        <color rgb="FF999999"/>
      </left>
      <right style="medium">
        <color rgb="FF444444"/>
      </right>
      <top style="thin">
        <color rgb="FF999999"/>
      </top>
      <bottom style="medium">
        <color rgb="FF444444"/>
      </bottom>
      <diagonal/>
    </border>
    <border>
      <left style="medium">
        <color rgb="FF444444"/>
      </left>
      <right style="thin">
        <color rgb="FF999999"/>
      </right>
      <top style="thin">
        <color rgb="FF999999"/>
      </top>
      <bottom/>
      <diagonal/>
    </border>
    <border>
      <left style="thin">
        <color rgb="FF999999"/>
      </left>
      <right style="thin">
        <color rgb="FF999999"/>
      </right>
      <top style="thin">
        <color rgb="FF999999"/>
      </top>
      <bottom/>
      <diagonal/>
    </border>
    <border>
      <left style="thin">
        <color rgb="FF999999"/>
      </left>
      <right style="medium">
        <color rgb="FF444444"/>
      </right>
      <top style="thin">
        <color rgb="FF999999"/>
      </top>
      <bottom/>
      <diagonal/>
    </border>
    <border>
      <left style="thin">
        <color rgb="FFCCCCCC"/>
      </left>
      <right style="thin">
        <color rgb="FFCCCCCC"/>
      </right>
      <top/>
      <bottom style="thin">
        <color rgb="FFCCCCCC"/>
      </bottom>
      <diagonal/>
    </border>
    <border>
      <left/>
      <right/>
      <top style="thin">
        <color indexed="64"/>
      </top>
      <bottom style="thin">
        <color indexed="64"/>
      </bottom>
      <diagonal/>
    </border>
    <border>
      <left style="medium">
        <color rgb="FF888888"/>
      </left>
      <right style="medium">
        <color rgb="FF888888"/>
      </right>
      <top/>
      <bottom style="medium">
        <color rgb="FF888888"/>
      </bottom>
      <diagonal/>
    </border>
    <border>
      <left style="medium">
        <color rgb="FF444444"/>
      </left>
      <right style="thin">
        <color rgb="FF999999"/>
      </right>
      <top/>
      <bottom style="thin">
        <color rgb="FF999999"/>
      </bottom>
      <diagonal/>
    </border>
    <border>
      <left style="thin">
        <color rgb="FF999999"/>
      </left>
      <right style="thin">
        <color rgb="FF999999"/>
      </right>
      <top/>
      <bottom style="thin">
        <color rgb="FF999999"/>
      </bottom>
      <diagonal/>
    </border>
    <border>
      <left style="thin">
        <color rgb="FF999999"/>
      </left>
      <right style="medium">
        <color rgb="FF444444"/>
      </right>
      <top/>
      <bottom style="thin">
        <color rgb="FF999999"/>
      </bottom>
      <diagonal/>
    </border>
    <border>
      <left/>
      <right/>
      <top/>
      <bottom style="thin">
        <color indexed="64"/>
      </bottom>
      <diagonal/>
    </border>
    <border>
      <left style="thin">
        <color rgb="FF999999"/>
      </left>
      <right/>
      <top style="thin">
        <color rgb="FF999999"/>
      </top>
      <bottom style="thin">
        <color rgb="FF999999"/>
      </bottom>
      <diagonal/>
    </border>
    <border>
      <left style="thin">
        <color rgb="FF999999"/>
      </left>
      <right/>
      <top style="thin">
        <color rgb="FF999999"/>
      </top>
      <bottom/>
      <diagonal/>
    </border>
    <border>
      <left/>
      <right style="medium">
        <color rgb="FF444444"/>
      </right>
      <top style="thin">
        <color rgb="FF999999"/>
      </top>
      <bottom/>
      <diagonal/>
    </border>
    <border>
      <left style="thin">
        <color rgb="FF999999"/>
      </left>
      <right style="thin">
        <color rgb="FF999999"/>
      </right>
      <top style="medium">
        <color rgb="FF444444"/>
      </top>
      <bottom/>
      <diagonal/>
    </border>
  </borders>
  <cellStyleXfs count="2">
    <xf numFmtId="0" fontId="0" fillId="0" borderId="0"/>
    <xf numFmtId="0" fontId="9" fillId="0" borderId="0" applyNumberFormat="0" applyFill="0" applyBorder="0" applyAlignment="0" applyProtection="0"/>
  </cellStyleXfs>
  <cellXfs count="106">
    <xf numFmtId="0" fontId="0" fillId="0" borderId="0" xfId="0"/>
    <xf numFmtId="0" fontId="0" fillId="0" borderId="0" xfId="0" applyAlignment="1">
      <alignment horizontal="center" vertical="center"/>
    </xf>
    <xf numFmtId="0" fontId="1" fillId="2" borderId="1" xfId="0" applyFont="1" applyFill="1" applyBorder="1"/>
    <xf numFmtId="0" fontId="1"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0" borderId="4" xfId="0" applyFont="1" applyBorder="1"/>
    <xf numFmtId="0" fontId="4" fillId="0" borderId="5"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4" fillId="0" borderId="7" xfId="0" applyFont="1" applyBorder="1"/>
    <xf numFmtId="0" fontId="4" fillId="0" borderId="8"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6" fillId="4" borderId="0" xfId="0" applyFont="1" applyFill="1"/>
    <xf numFmtId="0" fontId="7" fillId="5" borderId="11" xfId="0" applyFont="1" applyFill="1" applyBorder="1"/>
    <xf numFmtId="0" fontId="8" fillId="4" borderId="12" xfId="0" applyFont="1" applyFill="1" applyBorder="1"/>
    <xf numFmtId="0" fontId="8" fillId="4" borderId="13" xfId="0" applyFont="1" applyFill="1" applyBorder="1"/>
    <xf numFmtId="0" fontId="8" fillId="4" borderId="14" xfId="0" applyFont="1" applyFill="1" applyBorder="1"/>
    <xf numFmtId="0" fontId="6" fillId="4" borderId="15" xfId="0" applyFont="1" applyFill="1" applyBorder="1" applyProtection="1">
      <protection locked="0"/>
    </xf>
    <xf numFmtId="0" fontId="6" fillId="4" borderId="16" xfId="0" applyFont="1" applyFill="1" applyBorder="1" applyAlignment="1" applyProtection="1">
      <alignment horizontal="left" wrapText="1"/>
      <protection locked="0"/>
    </xf>
    <xf numFmtId="0" fontId="6" fillId="4" borderId="17" xfId="0" applyFont="1" applyFill="1" applyBorder="1" applyAlignment="1" applyProtection="1">
      <alignment horizontal="left" wrapText="1"/>
      <protection locked="0"/>
    </xf>
    <xf numFmtId="49" fontId="6" fillId="4" borderId="16" xfId="0" applyNumberFormat="1" applyFont="1" applyFill="1" applyBorder="1" applyAlignment="1" applyProtection="1">
      <alignment horizontal="left" wrapText="1"/>
      <protection locked="0"/>
    </xf>
    <xf numFmtId="0" fontId="6" fillId="4" borderId="18" xfId="0" applyFont="1" applyFill="1" applyBorder="1" applyProtection="1">
      <protection locked="0"/>
    </xf>
    <xf numFmtId="49" fontId="6" fillId="4" borderId="19" xfId="0" applyNumberFormat="1" applyFont="1" applyFill="1" applyBorder="1" applyAlignment="1" applyProtection="1">
      <alignment horizontal="left" wrapText="1"/>
      <protection locked="0"/>
    </xf>
    <xf numFmtId="0" fontId="6" fillId="4" borderId="19" xfId="0" applyFont="1" applyFill="1" applyBorder="1" applyAlignment="1" applyProtection="1">
      <alignment horizontal="left" wrapText="1"/>
      <protection locked="0"/>
    </xf>
    <xf numFmtId="0" fontId="6" fillId="4" borderId="20" xfId="0" applyFont="1" applyFill="1" applyBorder="1" applyAlignment="1" applyProtection="1">
      <alignment horizontal="left" wrapText="1"/>
      <protection locked="0"/>
    </xf>
    <xf numFmtId="164" fontId="6" fillId="4" borderId="15" xfId="0" applyNumberFormat="1" applyFont="1" applyFill="1" applyBorder="1" applyProtection="1">
      <protection locked="0"/>
    </xf>
    <xf numFmtId="0" fontId="6" fillId="4" borderId="18" xfId="0" applyFont="1" applyFill="1" applyBorder="1"/>
    <xf numFmtId="0" fontId="6" fillId="4" borderId="15" xfId="0" applyFont="1" applyFill="1" applyBorder="1"/>
    <xf numFmtId="0" fontId="6" fillId="4" borderId="16" xfId="0" applyFont="1" applyFill="1" applyBorder="1" applyAlignment="1">
      <alignment wrapText="1"/>
    </xf>
    <xf numFmtId="0" fontId="6" fillId="4" borderId="16" xfId="0" applyFont="1" applyFill="1" applyBorder="1" applyProtection="1">
      <protection locked="0"/>
    </xf>
    <xf numFmtId="0" fontId="6" fillId="4" borderId="19" xfId="0" applyFont="1" applyFill="1" applyBorder="1" applyAlignment="1">
      <alignment wrapText="1"/>
    </xf>
    <xf numFmtId="0" fontId="6" fillId="4" borderId="19" xfId="0" applyFont="1" applyFill="1" applyBorder="1" applyProtection="1">
      <protection locked="0"/>
    </xf>
    <xf numFmtId="0" fontId="6" fillId="4" borderId="0" xfId="0" applyFont="1" applyFill="1" applyAlignment="1">
      <alignment wrapText="1"/>
    </xf>
    <xf numFmtId="0" fontId="6" fillId="4" borderId="0" xfId="0" applyFont="1" applyFill="1" applyProtection="1">
      <protection locked="0"/>
    </xf>
    <xf numFmtId="0" fontId="7" fillId="5" borderId="11" xfId="0" applyFont="1" applyFill="1" applyBorder="1" applyAlignment="1">
      <alignment wrapText="1"/>
    </xf>
    <xf numFmtId="0" fontId="7" fillId="5" borderId="11" xfId="0" applyFont="1" applyFill="1" applyBorder="1" applyProtection="1">
      <protection locked="0"/>
    </xf>
    <xf numFmtId="0" fontId="8" fillId="4" borderId="13" xfId="0" applyFont="1" applyFill="1" applyBorder="1" applyAlignment="1">
      <alignment wrapText="1"/>
    </xf>
    <xf numFmtId="0" fontId="8" fillId="4" borderId="13" xfId="0" applyFont="1" applyFill="1" applyBorder="1" applyProtection="1">
      <protection locked="0"/>
    </xf>
    <xf numFmtId="0" fontId="6" fillId="7" borderId="0" xfId="0" applyFont="1" applyFill="1"/>
    <xf numFmtId="0" fontId="7" fillId="8" borderId="11" xfId="0" applyFont="1" applyFill="1" applyBorder="1"/>
    <xf numFmtId="0" fontId="8" fillId="7" borderId="12" xfId="0" applyFont="1" applyFill="1" applyBorder="1"/>
    <xf numFmtId="0" fontId="8" fillId="7" borderId="13" xfId="0" applyFont="1" applyFill="1" applyBorder="1"/>
    <xf numFmtId="0" fontId="8" fillId="7" borderId="14" xfId="0" applyFont="1" applyFill="1" applyBorder="1"/>
    <xf numFmtId="0" fontId="6" fillId="7" borderId="15" xfId="0" applyFont="1" applyFill="1" applyBorder="1" applyProtection="1">
      <protection locked="0"/>
    </xf>
    <xf numFmtId="49" fontId="6" fillId="7" borderId="16" xfId="0" applyNumberFormat="1" applyFont="1" applyFill="1" applyBorder="1" applyAlignment="1" applyProtection="1">
      <alignment horizontal="left" wrapText="1"/>
      <protection locked="0"/>
    </xf>
    <xf numFmtId="0" fontId="6" fillId="7" borderId="16" xfId="0" applyFont="1" applyFill="1" applyBorder="1" applyAlignment="1" applyProtection="1">
      <alignment horizontal="left" wrapText="1"/>
      <protection locked="0"/>
    </xf>
    <xf numFmtId="0" fontId="6" fillId="7" borderId="17" xfId="0" applyFont="1" applyFill="1" applyBorder="1" applyAlignment="1" applyProtection="1">
      <alignment horizontal="left" wrapText="1"/>
      <protection locked="0"/>
    </xf>
    <xf numFmtId="0" fontId="6" fillId="7" borderId="18" xfId="0" applyFont="1" applyFill="1" applyBorder="1" applyProtection="1">
      <protection locked="0"/>
    </xf>
    <xf numFmtId="49" fontId="6" fillId="7" borderId="19" xfId="0" applyNumberFormat="1" applyFont="1" applyFill="1" applyBorder="1" applyAlignment="1" applyProtection="1">
      <alignment horizontal="left" wrapText="1"/>
      <protection locked="0"/>
    </xf>
    <xf numFmtId="0" fontId="6" fillId="7" borderId="19" xfId="0" applyFont="1" applyFill="1" applyBorder="1" applyAlignment="1" applyProtection="1">
      <alignment horizontal="left" wrapText="1"/>
      <protection locked="0"/>
    </xf>
    <xf numFmtId="0" fontId="6" fillId="7" borderId="20" xfId="0" applyFont="1" applyFill="1" applyBorder="1" applyAlignment="1" applyProtection="1">
      <alignment horizontal="left" wrapText="1"/>
      <protection locked="0"/>
    </xf>
    <xf numFmtId="164" fontId="6" fillId="7" borderId="15" xfId="0" applyNumberFormat="1" applyFont="1" applyFill="1" applyBorder="1" applyProtection="1">
      <protection locked="0"/>
    </xf>
    <xf numFmtId="0" fontId="6" fillId="7" borderId="18" xfId="0" applyFont="1" applyFill="1" applyBorder="1"/>
    <xf numFmtId="0" fontId="6" fillId="7" borderId="15" xfId="0" applyFont="1" applyFill="1" applyBorder="1"/>
    <xf numFmtId="0" fontId="6" fillId="7" borderId="16" xfId="0" applyFont="1" applyFill="1" applyBorder="1" applyAlignment="1">
      <alignment wrapText="1"/>
    </xf>
    <xf numFmtId="0" fontId="6" fillId="7" borderId="16" xfId="0" applyFont="1" applyFill="1" applyBorder="1" applyProtection="1">
      <protection locked="0"/>
    </xf>
    <xf numFmtId="0" fontId="6" fillId="7" borderId="19" xfId="0" applyFont="1" applyFill="1" applyBorder="1" applyAlignment="1">
      <alignment wrapText="1"/>
    </xf>
    <xf numFmtId="0" fontId="6" fillId="7" borderId="19" xfId="0" applyFont="1" applyFill="1" applyBorder="1" applyProtection="1">
      <protection locked="0"/>
    </xf>
    <xf numFmtId="0" fontId="6" fillId="7" borderId="0" xfId="0" applyFont="1" applyFill="1" applyAlignment="1">
      <alignment wrapText="1"/>
    </xf>
    <xf numFmtId="0" fontId="6" fillId="7" borderId="0" xfId="0" applyFont="1" applyFill="1" applyProtection="1">
      <protection locked="0"/>
    </xf>
    <xf numFmtId="0" fontId="7" fillId="8" borderId="11" xfId="0" applyFont="1" applyFill="1" applyBorder="1" applyAlignment="1">
      <alignment wrapText="1"/>
    </xf>
    <xf numFmtId="0" fontId="7" fillId="8" borderId="11" xfId="0" applyFont="1" applyFill="1" applyBorder="1" applyProtection="1">
      <protection locked="0"/>
    </xf>
    <xf numFmtId="0" fontId="8" fillId="7" borderId="13" xfId="0" applyFont="1" applyFill="1" applyBorder="1" applyAlignment="1">
      <alignment wrapText="1"/>
    </xf>
    <xf numFmtId="0" fontId="8" fillId="7" borderId="13" xfId="0" applyFont="1" applyFill="1" applyBorder="1" applyProtection="1">
      <protection locked="0"/>
    </xf>
    <xf numFmtId="0" fontId="9" fillId="5" borderId="11" xfId="1" applyFill="1" applyBorder="1"/>
    <xf numFmtId="164" fontId="6" fillId="4" borderId="21" xfId="0" applyNumberFormat="1" applyFont="1" applyFill="1" applyBorder="1" applyProtection="1">
      <protection locked="0"/>
    </xf>
    <xf numFmtId="0" fontId="6" fillId="4" borderId="22" xfId="0" applyFont="1" applyFill="1" applyBorder="1" applyAlignment="1" applyProtection="1">
      <alignment horizontal="left" wrapText="1"/>
      <protection locked="0"/>
    </xf>
    <xf numFmtId="0" fontId="6" fillId="4" borderId="23" xfId="0" applyFont="1" applyFill="1" applyBorder="1" applyAlignment="1" applyProtection="1">
      <alignment horizontal="left" wrapText="1"/>
      <protection locked="0"/>
    </xf>
    <xf numFmtId="0" fontId="7" fillId="5" borderId="24" xfId="0" applyFont="1" applyFill="1" applyBorder="1"/>
    <xf numFmtId="0" fontId="6" fillId="4" borderId="25" xfId="0" applyFont="1" applyFill="1" applyBorder="1"/>
    <xf numFmtId="0" fontId="6" fillId="4" borderId="21" xfId="0" applyFont="1" applyFill="1" applyBorder="1"/>
    <xf numFmtId="0" fontId="6" fillId="4" borderId="22" xfId="0" applyFont="1" applyFill="1" applyBorder="1" applyAlignment="1">
      <alignment wrapText="1"/>
    </xf>
    <xf numFmtId="164" fontId="6" fillId="7" borderId="21" xfId="0" applyNumberFormat="1" applyFont="1" applyFill="1" applyBorder="1" applyProtection="1">
      <protection locked="0"/>
    </xf>
    <xf numFmtId="0" fontId="6" fillId="7" borderId="22" xfId="0" applyFont="1" applyFill="1" applyBorder="1" applyAlignment="1" applyProtection="1">
      <alignment horizontal="left" wrapText="1"/>
      <protection locked="0"/>
    </xf>
    <xf numFmtId="0" fontId="6" fillId="7" borderId="23" xfId="0" applyFont="1" applyFill="1" applyBorder="1" applyAlignment="1" applyProtection="1">
      <alignment horizontal="left" wrapText="1"/>
      <protection locked="0"/>
    </xf>
    <xf numFmtId="0" fontId="7" fillId="8" borderId="24" xfId="0" applyFont="1" applyFill="1" applyBorder="1"/>
    <xf numFmtId="0" fontId="6" fillId="7" borderId="21" xfId="0" applyFont="1" applyFill="1" applyBorder="1"/>
    <xf numFmtId="0" fontId="6" fillId="7" borderId="22" xfId="0" applyFont="1" applyFill="1" applyBorder="1"/>
    <xf numFmtId="0" fontId="6" fillId="4" borderId="22" xfId="0" applyFont="1" applyFill="1" applyBorder="1"/>
    <xf numFmtId="0" fontId="6" fillId="7" borderId="22" xfId="0" applyFont="1" applyFill="1" applyBorder="1" applyAlignment="1" applyProtection="1">
      <alignment horizontal="left"/>
      <protection locked="0"/>
    </xf>
    <xf numFmtId="0" fontId="6" fillId="7" borderId="23" xfId="0" applyFont="1" applyFill="1" applyBorder="1" applyAlignment="1" applyProtection="1">
      <alignment horizontal="left"/>
      <protection locked="0"/>
    </xf>
    <xf numFmtId="0" fontId="0" fillId="7" borderId="5" xfId="0" applyFill="1" applyBorder="1"/>
    <xf numFmtId="0" fontId="6" fillId="7" borderId="6" xfId="0" applyFont="1" applyFill="1" applyBorder="1"/>
    <xf numFmtId="0" fontId="6" fillId="7" borderId="25" xfId="0" applyFont="1" applyFill="1" applyBorder="1"/>
    <xf numFmtId="0" fontId="6" fillId="7" borderId="4" xfId="0" applyFont="1" applyFill="1" applyBorder="1"/>
    <xf numFmtId="0" fontId="6" fillId="4" borderId="6" xfId="0" applyFont="1" applyFill="1" applyBorder="1"/>
    <xf numFmtId="0" fontId="6" fillId="4" borderId="4" xfId="0" applyFont="1" applyFill="1" applyBorder="1"/>
    <xf numFmtId="0" fontId="8" fillId="7" borderId="27" xfId="0" applyFont="1" applyFill="1" applyBorder="1"/>
    <xf numFmtId="0" fontId="8" fillId="7" borderId="28" xfId="0" applyFont="1" applyFill="1" applyBorder="1"/>
    <xf numFmtId="0" fontId="8" fillId="7" borderId="29" xfId="0" applyFont="1" applyFill="1" applyBorder="1"/>
    <xf numFmtId="0" fontId="7" fillId="8" borderId="3" xfId="0" applyFont="1" applyFill="1" applyBorder="1"/>
    <xf numFmtId="0" fontId="7" fillId="8" borderId="30" xfId="0" applyFont="1" applyFill="1" applyBorder="1"/>
    <xf numFmtId="0" fontId="7" fillId="8" borderId="1" xfId="0" applyFont="1" applyFill="1" applyBorder="1"/>
    <xf numFmtId="0" fontId="6" fillId="4" borderId="31" xfId="0" applyFont="1" applyFill="1" applyBorder="1" applyAlignment="1" applyProtection="1">
      <alignment horizontal="left" wrapText="1"/>
      <protection locked="0"/>
    </xf>
    <xf numFmtId="0" fontId="6" fillId="4" borderId="32" xfId="0" applyFont="1" applyFill="1" applyBorder="1" applyAlignment="1" applyProtection="1">
      <alignment horizontal="left" wrapText="1"/>
      <protection locked="0"/>
    </xf>
    <xf numFmtId="0" fontId="6" fillId="4" borderId="33" xfId="0" applyFont="1" applyFill="1" applyBorder="1" applyAlignment="1" applyProtection="1">
      <alignment horizontal="left" wrapText="1"/>
      <protection locked="0"/>
    </xf>
    <xf numFmtId="0" fontId="8" fillId="4" borderId="34" xfId="0" applyFont="1" applyFill="1" applyBorder="1"/>
    <xf numFmtId="0" fontId="6" fillId="4" borderId="16" xfId="0" applyFont="1" applyFill="1" applyBorder="1" applyAlignment="1">
      <alignment vertical="top" wrapText="1"/>
    </xf>
    <xf numFmtId="0" fontId="10" fillId="9" borderId="5" xfId="0" applyFont="1" applyFill="1" applyBorder="1"/>
    <xf numFmtId="0" fontId="11" fillId="0" borderId="5" xfId="0" applyFont="1" applyBorder="1" applyAlignment="1">
      <alignment horizontal="center"/>
    </xf>
    <xf numFmtId="0" fontId="5" fillId="3" borderId="10" xfId="0" applyFont="1" applyFill="1" applyBorder="1" applyAlignment="1"/>
    <xf numFmtId="0" fontId="5" fillId="6" borderId="26" xfId="0" applyFont="1" applyFill="1" applyBorder="1" applyAlignment="1"/>
    <xf numFmtId="0" fontId="5" fillId="3" borderId="26" xfId="0" applyFont="1" applyFill="1" applyBorder="1" applyAlignment="1"/>
  </cellXfs>
  <cellStyles count="2">
    <cellStyle name="Hyperlink" xfId="1" builtinId="8"/>
    <cellStyle name="Standaard" xfId="0" builtinId="0"/>
  </cellStyles>
  <dxfs count="40">
    <dxf>
      <font>
        <b val="0"/>
        <i val="0"/>
        <strike val="0"/>
        <condense val="0"/>
        <extend val="0"/>
        <outline val="0"/>
        <shadow val="0"/>
        <u val="none"/>
        <vertAlign val="baseline"/>
        <sz val="10"/>
        <color rgb="FF000000"/>
        <name val="Arial"/>
        <family val="2"/>
        <scheme val="none"/>
      </font>
      <fill>
        <patternFill patternType="solid">
          <fgColor rgb="FFEDF7FC"/>
          <bgColor rgb="FFFDF0F0"/>
        </patternFill>
      </fill>
      <alignment horizontal="general" vertical="top" textRotation="0" wrapText="1" indent="0" justifyLastLine="0" shrinkToFit="0" readingOrder="0"/>
      <border diagonalUp="0" diagonalDown="0">
        <left style="thin">
          <color rgb="FF999999"/>
        </left>
        <right style="thin">
          <color rgb="FF999999"/>
        </right>
        <top style="thin">
          <color rgb="FF999999"/>
        </top>
        <bottom style="thin">
          <color rgb="FF999999"/>
        </bottom>
        <vertical/>
        <horizontal/>
      </border>
    </dxf>
    <dxf>
      <font>
        <b val="0"/>
        <i val="0"/>
        <strike val="0"/>
        <condense val="0"/>
        <extend val="0"/>
        <outline val="0"/>
        <shadow val="0"/>
        <u val="none"/>
        <vertAlign val="baseline"/>
        <sz val="10"/>
        <color rgb="FF000000"/>
        <name val="Arial"/>
        <family val="2"/>
        <scheme val="none"/>
      </font>
      <fill>
        <patternFill patternType="solid">
          <fgColor rgb="FFEDF7FC"/>
          <bgColor rgb="FFFDF0F0"/>
        </patternFill>
      </fill>
      <alignment horizontal="general" vertical="top" textRotation="0" wrapText="1" indent="0" justifyLastLine="0" shrinkToFit="0" readingOrder="0"/>
      <border diagonalUp="0" diagonalDown="0">
        <left style="thin">
          <color rgb="FF999999"/>
        </left>
        <right style="thin">
          <color rgb="FF999999"/>
        </right>
        <top style="thin">
          <color rgb="FF999999"/>
        </top>
        <bottom style="thin">
          <color rgb="FF999999"/>
        </bottom>
        <vertical/>
        <horizontal/>
      </border>
    </dxf>
    <dxf>
      <font>
        <b val="0"/>
        <i val="0"/>
        <strike val="0"/>
        <condense val="0"/>
        <extend val="0"/>
        <outline val="0"/>
        <shadow val="0"/>
        <u val="none"/>
        <vertAlign val="baseline"/>
        <sz val="10"/>
        <color rgb="FF000000"/>
        <name val="Arial"/>
        <family val="2"/>
        <scheme val="none"/>
      </font>
      <fill>
        <patternFill patternType="solid">
          <fgColor rgb="FFFDF0F0"/>
          <bgColor rgb="FFEDF7FC"/>
        </patternFill>
      </fill>
      <alignment horizontal="left" vertical="bottom" textRotation="0" wrapText="1" indent="0" justifyLastLine="0" shrinkToFit="0" readingOrder="0"/>
      <border diagonalUp="0" diagonalDown="0">
        <left style="thin">
          <color rgb="FF999999"/>
        </left>
        <right style="medium">
          <color rgb="FF444444"/>
        </right>
        <top style="thin">
          <color rgb="FF999999"/>
        </top>
        <bottom style="thin">
          <color rgb="FF999999"/>
        </bottom>
        <vertical/>
        <horizontal/>
      </border>
      <protection locked="0" hidden="0"/>
    </dxf>
    <dxf>
      <font>
        <b val="0"/>
        <i val="0"/>
        <strike val="0"/>
        <condense val="0"/>
        <extend val="0"/>
        <outline val="0"/>
        <shadow val="0"/>
        <u val="none"/>
        <vertAlign val="baseline"/>
        <sz val="10"/>
        <color rgb="FF000000"/>
        <name val="Arial"/>
        <family val="2"/>
        <scheme val="none"/>
      </font>
      <fill>
        <patternFill patternType="solid">
          <fgColor rgb="FFFDF0F0"/>
          <bgColor rgb="FFEDF7FC"/>
        </patternFill>
      </fill>
      <alignment horizontal="left" vertical="bottom" textRotation="0" wrapText="1" indent="0" justifyLastLine="0" shrinkToFit="0" readingOrder="0"/>
      <border diagonalUp="0" diagonalDown="0">
        <left style="thin">
          <color rgb="FF999999"/>
        </left>
        <right style="thin">
          <color rgb="FF999999"/>
        </right>
        <top style="thin">
          <color rgb="FF999999"/>
        </top>
        <bottom style="thin">
          <color rgb="FF999999"/>
        </bottom>
        <vertical/>
        <horizontal/>
      </border>
      <protection locked="0" hidden="0"/>
    </dxf>
    <dxf>
      <font>
        <b val="0"/>
        <i val="0"/>
        <strike val="0"/>
        <condense val="0"/>
        <extend val="0"/>
        <outline val="0"/>
        <shadow val="0"/>
        <u val="none"/>
        <vertAlign val="baseline"/>
        <sz val="10"/>
        <color rgb="FF000000"/>
        <name val="Arial"/>
        <family val="2"/>
        <scheme val="none"/>
      </font>
      <fill>
        <patternFill patternType="solid">
          <fgColor rgb="FFEDF7FC"/>
          <bgColor rgb="FFFDF0F0"/>
        </patternFill>
      </fill>
      <alignment horizontal="general" vertical="top" textRotation="0" wrapText="1" indent="0" justifyLastLine="0" shrinkToFit="0" readingOrder="0"/>
      <border diagonalUp="0" diagonalDown="0">
        <left style="thin">
          <color rgb="FF999999"/>
        </left>
        <right style="thin">
          <color rgb="FF999999"/>
        </right>
        <top style="thin">
          <color rgb="FF999999"/>
        </top>
        <bottom style="thin">
          <color rgb="FF999999"/>
        </bottom>
        <vertical/>
        <horizontal/>
      </border>
    </dxf>
    <dxf>
      <font>
        <b val="0"/>
        <i val="0"/>
        <strike val="0"/>
        <condense val="0"/>
        <extend val="0"/>
        <outline val="0"/>
        <shadow val="0"/>
        <u val="none"/>
        <vertAlign val="baseline"/>
        <sz val="10"/>
        <color rgb="FF000000"/>
        <name val="Arial"/>
        <family val="2"/>
        <scheme val="none"/>
      </font>
      <fill>
        <patternFill patternType="solid">
          <fgColor rgb="FFEDF7FC"/>
          <bgColor rgb="FFFDF0F0"/>
        </patternFill>
      </fill>
      <alignment horizontal="general" vertical="top" textRotation="0" wrapText="1" indent="0" justifyLastLine="0" shrinkToFit="0" readingOrder="0"/>
      <border diagonalUp="0" diagonalDown="0">
        <left style="thin">
          <color rgb="FF999999"/>
        </left>
        <right style="thin">
          <color rgb="FF999999"/>
        </right>
        <top style="thin">
          <color rgb="FF999999"/>
        </top>
        <bottom style="thin">
          <color rgb="FF999999"/>
        </bottom>
        <vertical/>
        <horizontal/>
      </border>
    </dxf>
    <dxf>
      <font>
        <b val="0"/>
        <i val="0"/>
        <strike val="0"/>
        <condense val="0"/>
        <extend val="0"/>
        <outline val="0"/>
        <shadow val="0"/>
        <u val="none"/>
        <vertAlign val="baseline"/>
        <sz val="10"/>
        <color rgb="FF000000"/>
        <name val="Arial"/>
        <family val="2"/>
        <scheme val="none"/>
      </font>
      <fill>
        <patternFill patternType="solid">
          <fgColor rgb="FFFDF0F0"/>
          <bgColor rgb="FFEDF7FC"/>
        </patternFill>
      </fill>
      <alignment horizontal="left" vertical="bottom" textRotation="0" wrapText="1" indent="0" justifyLastLine="0" shrinkToFit="0" readingOrder="0"/>
      <border diagonalUp="0" diagonalDown="0">
        <left style="thin">
          <color rgb="FF999999"/>
        </left>
        <right style="medium">
          <color rgb="FF444444"/>
        </right>
        <top style="thin">
          <color rgb="FF999999"/>
        </top>
        <bottom style="thin">
          <color rgb="FF999999"/>
        </bottom>
        <vertical/>
        <horizontal/>
      </border>
      <protection locked="0" hidden="0"/>
    </dxf>
    <dxf>
      <font>
        <b val="0"/>
        <i val="0"/>
        <strike val="0"/>
        <condense val="0"/>
        <extend val="0"/>
        <outline val="0"/>
        <shadow val="0"/>
        <u val="none"/>
        <vertAlign val="baseline"/>
        <sz val="10"/>
        <color rgb="FF000000"/>
        <name val="Arial"/>
        <family val="2"/>
        <scheme val="none"/>
      </font>
      <fill>
        <patternFill patternType="solid">
          <fgColor rgb="FFFDF0F0"/>
          <bgColor rgb="FFEDF7FC"/>
        </patternFill>
      </fill>
      <alignment horizontal="left" vertical="bottom" textRotation="0" wrapText="1" indent="0" justifyLastLine="0" shrinkToFit="0" readingOrder="0"/>
      <border diagonalUp="0" diagonalDown="0">
        <left style="thin">
          <color rgb="FF999999"/>
        </left>
        <right style="thin">
          <color rgb="FF999999"/>
        </right>
        <top style="thin">
          <color rgb="FF999999"/>
        </top>
        <bottom style="thin">
          <color rgb="FF999999"/>
        </bottom>
        <vertical/>
        <horizontal/>
      </border>
      <protection locked="0" hidden="0"/>
    </dxf>
    <dxf>
      <font>
        <b val="0"/>
        <i val="0"/>
        <strike val="0"/>
        <condense val="0"/>
        <extend val="0"/>
        <outline val="0"/>
        <shadow val="0"/>
        <u val="none"/>
        <vertAlign val="baseline"/>
        <sz val="10"/>
        <color rgb="FF000000"/>
        <name val="Arial"/>
        <family val="2"/>
        <scheme val="none"/>
      </font>
      <fill>
        <patternFill patternType="solid">
          <fgColor rgb="FFEDF7FC"/>
          <bgColor rgb="FFFDF0F0"/>
        </patternFill>
      </fill>
      <alignment horizontal="general" vertical="top" textRotation="0" wrapText="1" indent="0" justifyLastLine="0" shrinkToFit="0" readingOrder="0"/>
      <border diagonalUp="0" diagonalDown="0">
        <left style="thin">
          <color rgb="FF999999"/>
        </left>
        <right style="thin">
          <color rgb="FF999999"/>
        </right>
        <top style="thin">
          <color rgb="FF999999"/>
        </top>
        <bottom style="thin">
          <color rgb="FF999999"/>
        </bottom>
        <vertical/>
        <horizontal/>
      </border>
    </dxf>
    <dxf>
      <font>
        <b val="0"/>
        <i val="0"/>
        <strike val="0"/>
        <condense val="0"/>
        <extend val="0"/>
        <outline val="0"/>
        <shadow val="0"/>
        <u val="none"/>
        <vertAlign val="baseline"/>
        <sz val="10"/>
        <color rgb="FF000000"/>
        <name val="Arial"/>
        <family val="2"/>
        <scheme val="none"/>
      </font>
      <fill>
        <patternFill patternType="solid">
          <fgColor rgb="FFEDF7FC"/>
          <bgColor rgb="FFFDF0F0"/>
        </patternFill>
      </fill>
      <alignment horizontal="general" vertical="top" textRotation="0" wrapText="1" indent="0" justifyLastLine="0" shrinkToFit="0" readingOrder="0"/>
      <border diagonalUp="0" diagonalDown="0">
        <left style="thin">
          <color rgb="FF999999"/>
        </left>
        <right style="thin">
          <color rgb="FF999999"/>
        </right>
        <top style="thin">
          <color rgb="FF999999"/>
        </top>
        <bottom style="thin">
          <color rgb="FF999999"/>
        </bottom>
        <vertical/>
        <horizontal/>
      </border>
    </dxf>
    <dxf>
      <font>
        <b val="0"/>
        <i val="0"/>
        <strike val="0"/>
        <condense val="0"/>
        <extend val="0"/>
        <outline val="0"/>
        <shadow val="0"/>
        <u val="none"/>
        <vertAlign val="baseline"/>
        <sz val="10"/>
        <color rgb="FF000000"/>
        <name val="Arial"/>
        <family val="2"/>
        <scheme val="none"/>
      </font>
      <fill>
        <patternFill patternType="solid">
          <fgColor rgb="FFFDF0F0"/>
          <bgColor rgb="FFEDF7FC"/>
        </patternFill>
      </fill>
      <alignment horizontal="left" vertical="bottom" textRotation="0" wrapText="1" indent="0" justifyLastLine="0" shrinkToFit="0" readingOrder="0"/>
      <border diagonalUp="0" diagonalDown="0">
        <left style="thin">
          <color rgb="FF999999"/>
        </left>
        <right style="medium">
          <color rgb="FF444444"/>
        </right>
        <top style="thin">
          <color rgb="FF999999"/>
        </top>
        <bottom style="thin">
          <color rgb="FF999999"/>
        </bottom>
        <vertical/>
        <horizontal/>
      </border>
      <protection locked="0" hidden="0"/>
    </dxf>
    <dxf>
      <font>
        <b val="0"/>
        <i val="0"/>
        <strike val="0"/>
        <condense val="0"/>
        <extend val="0"/>
        <outline val="0"/>
        <shadow val="0"/>
        <u val="none"/>
        <vertAlign val="baseline"/>
        <sz val="10"/>
        <color rgb="FF000000"/>
        <name val="Arial"/>
        <family val="2"/>
        <scheme val="none"/>
      </font>
      <fill>
        <patternFill patternType="solid">
          <fgColor rgb="FFFDF0F0"/>
          <bgColor rgb="FFEDF7FC"/>
        </patternFill>
      </fill>
      <alignment horizontal="left" vertical="bottom" textRotation="0" wrapText="1" indent="0" justifyLastLine="0" shrinkToFit="0" readingOrder="0"/>
      <border diagonalUp="0" diagonalDown="0">
        <left style="thin">
          <color rgb="FF999999"/>
        </left>
        <right style="thin">
          <color rgb="FF999999"/>
        </right>
        <top style="thin">
          <color rgb="FF999999"/>
        </top>
        <bottom style="thin">
          <color rgb="FF999999"/>
        </bottom>
        <vertical/>
        <horizontal/>
      </border>
      <protection locked="0" hidden="0"/>
    </dxf>
    <dxf>
      <alignment horizontal="left" vertical="top" textRotation="0" wrapText="1" indent="0" justifyLastLine="0" shrinkToFit="0" readingOrder="0"/>
      <border outline="0">
        <left style="thin">
          <color rgb="FF999999"/>
        </left>
      </border>
    </dxf>
    <dxf>
      <font>
        <sz val="10"/>
        <color rgb="FF000000"/>
        <name val="Arial"/>
        <family val="2"/>
      </font>
      <fill>
        <patternFill patternType="solid">
          <fgColor rgb="FFEDF7FC"/>
          <bgColor rgb="FFFDF0F0"/>
        </patternFill>
      </fill>
      <alignment horizontal="general" vertical="top" textRotation="0" wrapText="1" indent="0" justifyLastLine="0" shrinkToFit="0" readingOrder="0"/>
      <border diagonalUp="0" diagonalDown="0" outline="0">
        <left style="thin">
          <color rgb="FF999999"/>
        </left>
        <right style="thin">
          <color rgb="FF999999"/>
        </right>
        <top style="thin">
          <color rgb="FF999999"/>
        </top>
        <bottom style="thin">
          <color rgb="FF999999"/>
        </bottom>
      </border>
    </dxf>
    <dxf>
      <border outline="0">
        <right style="thin">
          <color rgb="FF999999"/>
        </right>
      </border>
    </dxf>
    <dxf>
      <alignment horizontal="left" vertical="bottom" textRotation="0" wrapText="1" indent="0" justifyLastLine="0" shrinkToFit="0" readingOrder="0"/>
      <border outline="0">
        <left style="medium">
          <color rgb="FF444444"/>
        </left>
      </border>
    </dxf>
    <dxf>
      <alignment horizontal="left" vertical="bottom" textRotation="0" wrapText="1" indent="0" justifyLastLine="0" shrinkToFit="0" readingOrder="0"/>
      <border diagonalUp="0" diagonalDown="0">
        <left style="thin">
          <color indexed="64"/>
        </left>
        <right style="thin">
          <color indexed="64"/>
        </right>
        <vertical/>
      </border>
    </dxf>
    <dxf>
      <border outline="0">
        <right style="thin">
          <color rgb="FF999999"/>
        </right>
      </border>
    </dxf>
    <dxf>
      <alignment horizontal="left" vertical="bottom" textRotation="0" wrapText="1" indent="0" justifyLastLine="0" shrinkToFit="0" readingOrder="0"/>
    </dxf>
    <dxf>
      <border outline="0">
        <right style="thin">
          <color rgb="FF999999"/>
        </right>
      </border>
    </dxf>
    <dxf>
      <font>
        <b val="0"/>
        <i val="0"/>
        <strike val="0"/>
        <condense val="0"/>
        <extend val="0"/>
        <outline val="0"/>
        <shadow val="0"/>
        <u val="none"/>
        <vertAlign val="baseline"/>
        <sz val="10"/>
        <color rgb="FF000000"/>
        <name val="Arial"/>
        <family val="2"/>
        <scheme val="none"/>
      </font>
      <fill>
        <patternFill patternType="solid">
          <fgColor rgb="FFEDF7FC"/>
          <bgColor rgb="FFFDF0F0"/>
        </patternFill>
      </fill>
      <alignment horizontal="left" vertical="bottom" textRotation="0" wrapText="1" indent="0" justifyLastLine="0" shrinkToFit="0" readingOrder="0"/>
      <border diagonalUp="0" diagonalDown="0">
        <left style="thin">
          <color rgb="FF999999"/>
        </left>
        <right style="medium">
          <color rgb="FF444444"/>
        </right>
        <top style="thin">
          <color rgb="FF999999"/>
        </top>
        <bottom style="thin">
          <color rgb="FF999999"/>
        </bottom>
        <vertical/>
        <horizontal/>
      </border>
      <protection locked="0" hidden="0"/>
    </dxf>
    <dxf>
      <font>
        <b val="0"/>
        <i val="0"/>
        <strike val="0"/>
        <condense val="0"/>
        <extend val="0"/>
        <outline val="0"/>
        <shadow val="0"/>
        <u val="none"/>
        <vertAlign val="baseline"/>
        <sz val="10"/>
        <color rgb="FF000000"/>
        <name val="Arial"/>
        <family val="2"/>
        <scheme val="none"/>
      </font>
      <fill>
        <patternFill patternType="solid">
          <fgColor rgb="FFFDF0F0"/>
          <bgColor rgb="FFEDF7FC"/>
        </patternFill>
      </fill>
      <alignment horizontal="left" vertical="bottom" textRotation="0" wrapText="1" indent="0" justifyLastLine="0" shrinkToFit="0" readingOrder="0"/>
      <border diagonalUp="0" diagonalDown="0">
        <left style="thin">
          <color rgb="FF999999"/>
        </left>
        <right style="medium">
          <color rgb="FF444444"/>
        </right>
        <top style="thin">
          <color rgb="FF999999"/>
        </top>
        <bottom style="thin">
          <color rgb="FF999999"/>
        </bottom>
        <vertical/>
        <horizontal/>
      </border>
      <protection locked="0" hidden="0"/>
    </dxf>
    <dxf>
      <font>
        <b val="0"/>
        <i val="0"/>
        <strike val="0"/>
        <condense val="0"/>
        <extend val="0"/>
        <outline val="0"/>
        <shadow val="0"/>
        <u val="none"/>
        <vertAlign val="baseline"/>
        <sz val="10"/>
        <color rgb="FF000000"/>
        <name val="Arial"/>
        <family val="2"/>
        <scheme val="none"/>
      </font>
      <fill>
        <patternFill patternType="solid">
          <fgColor rgb="FFFDF0F0"/>
          <bgColor rgb="FFEDF7FC"/>
        </patternFill>
      </fill>
      <alignment horizontal="left" vertical="bottom" textRotation="0" wrapText="1" indent="0" justifyLastLine="0" shrinkToFit="0" readingOrder="0"/>
      <border diagonalUp="0" diagonalDown="0">
        <left style="thin">
          <color rgb="FF999999"/>
        </left>
        <right style="medium">
          <color rgb="FF444444"/>
        </right>
        <top style="thin">
          <color rgb="FF999999"/>
        </top>
        <bottom style="thin">
          <color rgb="FF999999"/>
        </bottom>
        <vertical/>
        <horizontal/>
      </border>
      <protection locked="0" hidden="0"/>
    </dxf>
    <dxf>
      <alignment horizontal="left" vertical="bottom" textRotation="0" wrapText="1" indent="0" justifyLastLine="0" shrinkToFit="0" readingOrder="0"/>
    </dxf>
    <dxf>
      <border outline="0">
        <right style="thin">
          <color rgb="FF999999"/>
        </right>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DF0F0"/>
      <rgbColor rgb="FFEDF7FC"/>
      <rgbColor rgb="FF660066"/>
      <rgbColor rgb="FFFF8080"/>
      <rgbColor rgb="FF0066CC"/>
      <rgbColor rgb="FFB3E3F6"/>
      <rgbColor rgb="FF000080"/>
      <rgbColor rgb="FFFF00FF"/>
      <rgbColor rgb="FFFFFF00"/>
      <rgbColor rgb="FF00FFFF"/>
      <rgbColor rgb="FF800080"/>
      <rgbColor rgb="FF800000"/>
      <rgbColor rgb="FF008080"/>
      <rgbColor rgb="FF0000FF"/>
      <rgbColor rgb="FF00A1E1"/>
      <rgbColor rgb="FFCCFFFF"/>
      <rgbColor rgb="FFCCFFCC"/>
      <rgbColor rgb="FFFFFF99"/>
      <rgbColor rgb="FF99CCFF"/>
      <rgbColor rgb="FFFF99CC"/>
      <rgbColor rgb="FFCC99FF"/>
      <rgbColor rgb="FFFACAC9"/>
      <rgbColor rgb="FF3366FF"/>
      <rgbColor rgb="FF33CCCC"/>
      <rgbColor rgb="FF99CC00"/>
      <rgbColor rgb="FFFFCC00"/>
      <rgbColor rgb="FFFF9900"/>
      <rgbColor rgb="FFFF6600"/>
      <rgbColor rgb="FF666699"/>
      <rgbColor rgb="FF999999"/>
      <rgbColor rgb="FF003366"/>
      <rgbColor rgb="FF339966"/>
      <rgbColor rgb="FF003300"/>
      <rgbColor rgb="FF1A1A1A"/>
      <rgbColor rgb="FFE6302B"/>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1" displayName="Tabel1" ref="A1:K7" totalsRowShown="0" headerRowDxfId="39" headerRowBorderDxfId="37" tableBorderDxfId="38" totalsRowBorderDxfId="36">
  <autoFilter ref="A1:K7"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LU" dataDxfId="35"/>
    <tableColumn id="2" xr3:uid="{00000000-0010-0000-0000-000002000000}" name="Doel" dataDxfId="34"/>
    <tableColumn id="3" xr3:uid="{00000000-0010-0000-0000-000003000000}" name="Behaald" dataDxfId="33"/>
    <tableColumn id="4" xr3:uid="{00000000-0010-0000-0000-000004000000}" name="Sprint 1" dataDxfId="32"/>
    <tableColumn id="5" xr3:uid="{00000000-0010-0000-0000-000005000000}" name="Sprint 2" dataDxfId="31"/>
    <tableColumn id="6" xr3:uid="{00000000-0010-0000-0000-000006000000}" name="Sprint 3" dataDxfId="30"/>
    <tableColumn id="7" xr3:uid="{00000000-0010-0000-0000-000007000000}" name="Sprint 4" dataDxfId="29"/>
    <tableColumn id="8" xr3:uid="{00000000-0010-0000-0000-000008000000}" name="Sprint 5" dataDxfId="28"/>
    <tableColumn id="9" xr3:uid="{00000000-0010-0000-0000-000009000000}" name="Sprint 6" dataDxfId="27"/>
    <tableColumn id="10" xr3:uid="{00000000-0010-0000-0000-00000A000000}" name="Sprint 7" dataDxfId="26"/>
    <tableColumn id="11" xr3:uid="{00000000-0010-0000-0000-00000B000000}" name="Sprint 8" dataDxfId="2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2" displayName="Tabel2" ref="A4:D9" totalsRowShown="0">
  <tableColumns count="4">
    <tableColumn id="1" xr3:uid="{00000000-0010-0000-0100-000001000000}" name="Story"/>
    <tableColumn id="2" xr3:uid="{00000000-0010-0000-0100-000002000000}" name="Story Omschrijving"/>
    <tableColumn id="3" xr3:uid="{00000000-0010-0000-0100-000003000000}" name="Acceptatie Criteria"/>
    <tableColumn id="4" xr3:uid="{00000000-0010-0000-0100-000004000000}" name="Kwaliteitscriteri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213" displayName="Tabel213" ref="A32:D37" totalsRowShown="0">
  <tableColumns count="4">
    <tableColumn id="1" xr3:uid="{00000000-0010-0000-0200-000001000000}" name="Story"/>
    <tableColumn id="2" xr3:uid="{00000000-0010-0000-0200-000002000000}" name="Story Omschrijving"/>
    <tableColumn id="3" xr3:uid="{00000000-0010-0000-0200-000003000000}" name="Acceptatie Criteria"/>
    <tableColumn id="4" xr3:uid="{00000000-0010-0000-0200-000004000000}" name="Kwaliteitscriteri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21317" displayName="Tabel21317" ref="A60:D65" totalsRowShown="0">
  <tableColumns count="4">
    <tableColumn id="1" xr3:uid="{00000000-0010-0000-0300-000001000000}" name="Story"/>
    <tableColumn id="2" xr3:uid="{00000000-0010-0000-0300-000002000000}" name="Story Omschrijving"/>
    <tableColumn id="3" xr3:uid="{00000000-0010-0000-0300-000003000000}" name="Acceptatie Criteria"/>
    <tableColumn id="4" xr3:uid="{00000000-0010-0000-0300-000004000000}" name="Kwaliteitscriteri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2131721" displayName="Tabel2131721" ref="A88:D93" totalsRowShown="0">
  <tableColumns count="4">
    <tableColumn id="1" xr3:uid="{00000000-0010-0000-0400-000001000000}" name="Story"/>
    <tableColumn id="2" xr3:uid="{00000000-0010-0000-0400-000002000000}" name="Story Omschrijving"/>
    <tableColumn id="3" xr3:uid="{00000000-0010-0000-0400-000003000000}" name="Acceptatie Criteria"/>
    <tableColumn id="4" xr3:uid="{00000000-0010-0000-0400-000004000000}" name="Kwaliteitscriteri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el213172125" displayName="Tabel213172125" ref="A116:D121" totalsRowShown="0">
  <tableColumns count="4">
    <tableColumn id="1" xr3:uid="{00000000-0010-0000-0500-000001000000}" name="Story"/>
    <tableColumn id="2" xr3:uid="{00000000-0010-0000-0500-000002000000}" name="Story Omschrijving"/>
    <tableColumn id="3" xr3:uid="{00000000-0010-0000-0500-000003000000}" name="Acceptatie Criteria"/>
    <tableColumn id="4" xr3:uid="{00000000-0010-0000-0500-000004000000}" name="Kwaliteitscriteri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el21317212529" displayName="Tabel21317212529" ref="A144:D149" totalsRowShown="0">
  <tableColumns count="4">
    <tableColumn id="1" xr3:uid="{00000000-0010-0000-0600-000001000000}" name="Story"/>
    <tableColumn id="2" xr3:uid="{00000000-0010-0000-0600-000002000000}" name="Story Omschrijving"/>
    <tableColumn id="3" xr3:uid="{00000000-0010-0000-0600-000003000000}" name="Acceptatie Criteria"/>
    <tableColumn id="4" xr3:uid="{00000000-0010-0000-0600-000004000000}" name="Kwaliteitscriteri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el2131721252933" displayName="Tabel2131721252933" ref="A172:D177" totalsRowShown="0">
  <tableColumns count="4">
    <tableColumn id="1" xr3:uid="{00000000-0010-0000-0700-000001000000}" name="Story"/>
    <tableColumn id="2" xr3:uid="{00000000-0010-0000-0700-000002000000}" name="Story Omschrijving"/>
    <tableColumn id="3" xr3:uid="{00000000-0010-0000-0700-000003000000}" name="Acceptatie Criteria"/>
    <tableColumn id="4" xr3:uid="{00000000-0010-0000-0700-000004000000}" name="Kwaliteitscriteri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el213172125293337" displayName="Tabel213172125293337" ref="A200:D205" totalsRowShown="0">
  <tableColumns count="4">
    <tableColumn id="1" xr3:uid="{00000000-0010-0000-0800-000001000000}" name="Story"/>
    <tableColumn id="2" xr3:uid="{00000000-0010-0000-0800-000002000000}" name="Story Omschrijving"/>
    <tableColumn id="3" xr3:uid="{00000000-0010-0000-0800-000003000000}" name="Acceptatie Criteria"/>
    <tableColumn id="4" xr3:uid="{00000000-0010-0000-0800-000004000000}" name="Kwaliteitscriteria"/>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el5" displayName="Tabel5" ref="A17:D22" totalsRowShown="0">
  <autoFilter ref="A17:D22" xr:uid="{00000000-0009-0000-0100-00000A000000}">
    <filterColumn colId="0" hiddenButton="1"/>
    <filterColumn colId="1" hiddenButton="1"/>
    <filterColumn colId="2" hiddenButton="1"/>
    <filterColumn colId="3" hiddenButton="1"/>
  </autoFilter>
  <tableColumns count="4">
    <tableColumn id="1" xr3:uid="{00000000-0010-0000-0900-000001000000}" name="LU"/>
    <tableColumn id="2" xr3:uid="{00000000-0010-0000-0900-000002000000}" name="Leeruitkomst"/>
    <tableColumn id="3" xr3:uid="{00000000-0010-0000-0900-000003000000}" name="Niveau" dataDxfId="24"/>
    <tableColumn id="4" xr3:uid="{00000000-0010-0000-0900-000004000000}" name="Argumentatie en bewijs" dataDxfId="23"/>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el514" displayName="Tabel514" ref="A45:D50" totalsRowShown="0">
  <tableColumns count="4">
    <tableColumn id="1" xr3:uid="{00000000-0010-0000-0A00-000001000000}" name="LU"/>
    <tableColumn id="2" xr3:uid="{00000000-0010-0000-0A00-000002000000}" name="Leeruitkomst"/>
    <tableColumn id="3" xr3:uid="{00000000-0010-0000-0A00-000003000000}" name="Niveau"/>
    <tableColumn id="4" xr3:uid="{00000000-0010-0000-0A00-000004000000}" name="Argumentatie en bewijs"/>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el51418" displayName="Tabel51418" ref="A73:D78" totalsRowShown="0">
  <tableColumns count="4">
    <tableColumn id="1" xr3:uid="{00000000-0010-0000-0B00-000001000000}" name="LU"/>
    <tableColumn id="2" xr3:uid="{00000000-0010-0000-0B00-000002000000}" name="Leeruitkomst"/>
    <tableColumn id="3" xr3:uid="{00000000-0010-0000-0B00-000003000000}" name="Niveau"/>
    <tableColumn id="4" xr3:uid="{00000000-0010-0000-0B00-000004000000}" name="Argumentatie en bewijs"/>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el5141822" displayName="Tabel5141822" ref="A101:D106" totalsRowShown="0">
  <tableColumns count="4">
    <tableColumn id="1" xr3:uid="{00000000-0010-0000-0C00-000001000000}" name="LU"/>
    <tableColumn id="2" xr3:uid="{00000000-0010-0000-0C00-000002000000}" name="Leeruitkomst"/>
    <tableColumn id="3" xr3:uid="{00000000-0010-0000-0C00-000003000000}" name="Niveau"/>
    <tableColumn id="4" xr3:uid="{00000000-0010-0000-0C00-000004000000}" name="Argumentatie en bewijs" dataDxfId="22"/>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el514182226" displayName="Tabel514182226" ref="A129:D134" totalsRowShown="0">
  <tableColumns count="4">
    <tableColumn id="1" xr3:uid="{00000000-0010-0000-0D00-000001000000}" name="LU"/>
    <tableColumn id="2" xr3:uid="{00000000-0010-0000-0D00-000002000000}" name="Leeruitkomst"/>
    <tableColumn id="3" xr3:uid="{00000000-0010-0000-0D00-000003000000}" name="Niveau"/>
    <tableColumn id="4" xr3:uid="{00000000-0010-0000-0D00-000004000000}" name="Argumentatie en bewijs"/>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el51418222630" displayName="Tabel51418222630" ref="A157:D162" totalsRowShown="0">
  <tableColumns count="4">
    <tableColumn id="1" xr3:uid="{00000000-0010-0000-0E00-000001000000}" name="LU"/>
    <tableColumn id="2" xr3:uid="{00000000-0010-0000-0E00-000002000000}" name="Leeruitkomst"/>
    <tableColumn id="3" xr3:uid="{00000000-0010-0000-0E00-000003000000}" name="Niveau"/>
    <tableColumn id="4" xr3:uid="{00000000-0010-0000-0E00-000004000000}" name="Argumentatie en bewijs" dataDxfId="21"/>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el5141822263034" displayName="Tabel5141822263034" ref="A185:D190" totalsRowShown="0">
  <tableColumns count="4">
    <tableColumn id="1" xr3:uid="{00000000-0010-0000-0F00-000001000000}" name="LU"/>
    <tableColumn id="2" xr3:uid="{00000000-0010-0000-0F00-000002000000}" name="Leeruitkomst"/>
    <tableColumn id="3" xr3:uid="{00000000-0010-0000-0F00-000003000000}" name="Niveau"/>
    <tableColumn id="4" xr3:uid="{00000000-0010-0000-0F00-000004000000}" name="Argumentatie en bewijs" dataDxfId="2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el514182226303438" displayName="Tabel514182226303438" ref="A213:D218" totalsRowShown="0">
  <tableColumns count="4">
    <tableColumn id="1" xr3:uid="{00000000-0010-0000-1000-000001000000}" name="LU"/>
    <tableColumn id="2" xr3:uid="{00000000-0010-0000-1000-000002000000}" name="Leeruitkomst"/>
    <tableColumn id="3" xr3:uid="{00000000-0010-0000-1000-000003000000}" name="Niveau" dataDxfId="19"/>
    <tableColumn id="4" xr3:uid="{00000000-0010-0000-1000-000004000000}" name="Argumentatie en bewijs" dataDxfId="18"/>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el6" displayName="Tabel6" ref="A12:D14" totalsRowShown="0">
  <autoFilter ref="A12:D14" xr:uid="{00000000-0009-0000-0100-000012000000}">
    <filterColumn colId="0" hiddenButton="1"/>
    <filterColumn colId="1" hiddenButton="1"/>
    <filterColumn colId="2" hiddenButton="1"/>
    <filterColumn colId="3" hiddenButton="1"/>
  </autoFilter>
  <tableColumns count="4">
    <tableColumn id="1" xr3:uid="{00000000-0010-0000-1100-000001000000}" name="Datum"/>
    <tableColumn id="2" xr3:uid="{00000000-0010-0000-1100-000002000000}" name="Van wie" dataDxfId="17"/>
    <tableColumn id="3" xr3:uid="{00000000-0010-0000-1100-000003000000}" name="Feedback" dataDxfId="16"/>
    <tableColumn id="4" xr3:uid="{00000000-0010-0000-1100-000004000000}" name="Jouw actie" dataDxfId="15"/>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el615" displayName="Tabel615" ref="A40:D42" totalsRowShown="0">
  <tableColumns count="4">
    <tableColumn id="1" xr3:uid="{00000000-0010-0000-1200-000001000000}" name="Datum"/>
    <tableColumn id="2" xr3:uid="{00000000-0010-0000-1200-000002000000}" name="Van wie"/>
    <tableColumn id="3" xr3:uid="{00000000-0010-0000-1200-000003000000}" name="Feedback"/>
    <tableColumn id="4" xr3:uid="{00000000-0010-0000-1200-000004000000}" name="Jouw actie"/>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el61519" displayName="Tabel61519" ref="A68:D70" totalsRowShown="0">
  <tableColumns count="4">
    <tableColumn id="1" xr3:uid="{00000000-0010-0000-1300-000001000000}" name="Datum"/>
    <tableColumn id="2" xr3:uid="{00000000-0010-0000-1300-000002000000}" name="Van wie"/>
    <tableColumn id="3" xr3:uid="{00000000-0010-0000-1300-000003000000}" name="Feedback"/>
    <tableColumn id="4" xr3:uid="{00000000-0010-0000-1300-000004000000}" name="Jouw actie"/>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el6151923" displayName="Tabel6151923" ref="A96:D98" totalsRowShown="0">
  <tableColumns count="4">
    <tableColumn id="1" xr3:uid="{00000000-0010-0000-1400-000001000000}" name="Datum"/>
    <tableColumn id="2" xr3:uid="{00000000-0010-0000-1400-000002000000}" name="Van wie"/>
    <tableColumn id="3" xr3:uid="{00000000-0010-0000-1400-000003000000}" name="Feedback"/>
    <tableColumn id="4" xr3:uid="{00000000-0010-0000-1400-000004000000}" name="Jouw actie"/>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el615192327" displayName="Tabel615192327" ref="A124:D126" totalsRowShown="0">
  <tableColumns count="4">
    <tableColumn id="1" xr3:uid="{00000000-0010-0000-1500-000001000000}" name="Datum"/>
    <tableColumn id="2" xr3:uid="{00000000-0010-0000-1500-000002000000}" name="Van wie"/>
    <tableColumn id="3" xr3:uid="{00000000-0010-0000-1500-000003000000}" name="Feedback"/>
    <tableColumn id="4" xr3:uid="{00000000-0010-0000-1500-000004000000}" name="Jouw actie"/>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el61519232731" displayName="Tabel61519232731" ref="A152:D154" totalsRowShown="0">
  <tableColumns count="4">
    <tableColumn id="1" xr3:uid="{00000000-0010-0000-1600-000001000000}" name="Datum"/>
    <tableColumn id="2" xr3:uid="{00000000-0010-0000-1600-000002000000}" name="Van wie"/>
    <tableColumn id="3" xr3:uid="{00000000-0010-0000-1600-000003000000}" name="Feedback"/>
    <tableColumn id="4" xr3:uid="{00000000-0010-0000-1600-000004000000}" name="Jouw actie"/>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el6151923273135" displayName="Tabel6151923273135" ref="A180:D182" totalsRowShown="0">
  <tableColumns count="4">
    <tableColumn id="1" xr3:uid="{00000000-0010-0000-1700-000001000000}" name="Datum"/>
    <tableColumn id="2" xr3:uid="{00000000-0010-0000-1700-000002000000}" name="Van wie"/>
    <tableColumn id="3" xr3:uid="{00000000-0010-0000-1700-000003000000}" name="Feedback"/>
    <tableColumn id="4" xr3:uid="{00000000-0010-0000-1700-000004000000}" name="Jouw actie"/>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el615192327313539" displayName="Tabel615192327313539" ref="A208:D210" totalsRowShown="0">
  <tableColumns count="4">
    <tableColumn id="1" xr3:uid="{00000000-0010-0000-1800-000001000000}" name="Datum"/>
    <tableColumn id="2" xr3:uid="{00000000-0010-0000-1800-000002000000}" name="Van wie"/>
    <tableColumn id="3" xr3:uid="{00000000-0010-0000-1800-000003000000}" name="Feedback"/>
    <tableColumn id="4" xr3:uid="{00000000-0010-0000-1800-000004000000}" name="Jouw actie"/>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el7" displayName="Tabel7" ref="A25:D27" totalsRowShown="0">
  <autoFilter ref="A25:D27" xr:uid="{00000000-0009-0000-0100-00001A000000}">
    <filterColumn colId="0" hiddenButton="1"/>
    <filterColumn colId="1" hiddenButton="1"/>
    <filterColumn colId="2" hiddenButton="1"/>
    <filterColumn colId="3" hiddenButton="1"/>
  </autoFilter>
  <tableColumns count="4">
    <tableColumn id="1" xr3:uid="{00000000-0010-0000-1900-000001000000}" name="Datum"/>
    <tableColumn id="2" xr3:uid="{00000000-0010-0000-1900-000002000000}" name="Wat heb je geleerd?" dataDxfId="14"/>
    <tableColumn id="3" xr3:uid="{00000000-0010-0000-1900-000003000000}" name="Wat behoud je?" dataDxfId="13"/>
    <tableColumn id="4" xr3:uid="{00000000-0010-0000-1900-000004000000}" name="Wat ga je anders doen?" dataDxfId="12"/>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el716" displayName="Tabel716" ref="A53:D55" totalsRowShown="0">
  <tableColumns count="4">
    <tableColumn id="1" xr3:uid="{00000000-0010-0000-1A00-000001000000}" name="Datum"/>
    <tableColumn id="2" xr3:uid="{00000000-0010-0000-1A00-000002000000}" name="Wat heb je geleerd?"/>
    <tableColumn id="3" xr3:uid="{00000000-0010-0000-1A00-000003000000}" name="Wat behoud je?" dataDxfId="11"/>
    <tableColumn id="4" xr3:uid="{00000000-0010-0000-1A00-000004000000}" name="Wat ga je anders doen?" dataDxfId="10"/>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el71620" displayName="Tabel71620" ref="A81:D83" totalsRowShown="0">
  <tableColumns count="4">
    <tableColumn id="1" xr3:uid="{00000000-0010-0000-1B00-000001000000}" name="Datum"/>
    <tableColumn id="2" xr3:uid="{00000000-0010-0000-1B00-000002000000}" name="Wat heb je geleerd?"/>
    <tableColumn id="3" xr3:uid="{00000000-0010-0000-1B00-000003000000}" name="Wat behoud je?" dataDxfId="9"/>
    <tableColumn id="4" xr3:uid="{00000000-0010-0000-1B00-000004000000}" name="Wat ga je anders doen?" dataDxfId="8"/>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el7162024" displayName="Tabel7162024" ref="A109:D111" totalsRowShown="0">
  <tableColumns count="4">
    <tableColumn id="1" xr3:uid="{00000000-0010-0000-1C00-000001000000}" name="Datum"/>
    <tableColumn id="2" xr3:uid="{00000000-0010-0000-1C00-000002000000}" name="Wat heb je geleerd?"/>
    <tableColumn id="3" xr3:uid="{00000000-0010-0000-1C00-000003000000}" name="Wat behoud je?" dataDxfId="7"/>
    <tableColumn id="4" xr3:uid="{00000000-0010-0000-1C00-000004000000}" name="Wat ga je anders doen?" dataDxfId="6"/>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el716202428" displayName="Tabel716202428" ref="A137:D139" totalsRowShown="0">
  <tableColumns count="4">
    <tableColumn id="1" xr3:uid="{00000000-0010-0000-1D00-000001000000}" name="Datum"/>
    <tableColumn id="2" xr3:uid="{00000000-0010-0000-1D00-000002000000}" name="Wat heb je geleerd?"/>
    <tableColumn id="3" xr3:uid="{00000000-0010-0000-1D00-000003000000}" name="Wat behoud je?" dataDxfId="5"/>
    <tableColumn id="4" xr3:uid="{00000000-0010-0000-1D00-000004000000}" name="Wat ga je anders doen?" dataDxfId="4"/>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el71620242832" displayName="Tabel71620242832" ref="A165:D167" totalsRowShown="0">
  <tableColumns count="4">
    <tableColumn id="1" xr3:uid="{00000000-0010-0000-1E00-000001000000}" name="Datum"/>
    <tableColumn id="2" xr3:uid="{00000000-0010-0000-1E00-000002000000}" name="Wat heb je geleerd?"/>
    <tableColumn id="3" xr3:uid="{00000000-0010-0000-1E00-000003000000}" name="Wat behoud je?" dataDxfId="3"/>
    <tableColumn id="4" xr3:uid="{00000000-0010-0000-1E00-000004000000}" name="Wat ga je anders doen?" dataDxfId="2"/>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el7162024283236" displayName="Tabel7162024283236" ref="A193:D195" totalsRowShown="0">
  <tableColumns count="4">
    <tableColumn id="1" xr3:uid="{00000000-0010-0000-1F00-000001000000}" name="Datum"/>
    <tableColumn id="2" xr3:uid="{00000000-0010-0000-1F00-000002000000}" name="Wat heb je geleerd?"/>
    <tableColumn id="3" xr3:uid="{00000000-0010-0000-1F00-000003000000}" name="Wat behoud je?" dataDxfId="1"/>
    <tableColumn id="4" xr3:uid="{00000000-0010-0000-1F00-000004000000}" name="Wat ga je anders doen?" dataDxfId="0"/>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el716202428323640" displayName="Tabel716202428323640" ref="A221:D222" totalsRowShown="0">
  <tableColumns count="4">
    <tableColumn id="1" xr3:uid="{00000000-0010-0000-2000-000001000000}" name="Datum"/>
    <tableColumn id="2" xr3:uid="{00000000-0010-0000-2000-000002000000}" name="Wat heb je geleerd?"/>
    <tableColumn id="3" xr3:uid="{00000000-0010-0000-2000-000003000000}" name="Wat behoud je?"/>
    <tableColumn id="4" xr3:uid="{00000000-0010-0000-2000-000004000000}" name="Wat ga je anders doe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table" Target="../tables/table5.xml"/><Relationship Id="rId18" Type="http://schemas.openxmlformats.org/officeDocument/2006/relationships/table" Target="../tables/table10.xml"/><Relationship Id="rId26" Type="http://schemas.openxmlformats.org/officeDocument/2006/relationships/table" Target="../tables/table18.xml"/><Relationship Id="rId39" Type="http://schemas.openxmlformats.org/officeDocument/2006/relationships/table" Target="../tables/table31.xml"/><Relationship Id="rId21" Type="http://schemas.openxmlformats.org/officeDocument/2006/relationships/table" Target="../tables/table13.xml"/><Relationship Id="rId34" Type="http://schemas.openxmlformats.org/officeDocument/2006/relationships/table" Target="../tables/table26.xml"/><Relationship Id="rId7" Type="http://schemas.openxmlformats.org/officeDocument/2006/relationships/hyperlink" Target="https://gemini.google.com/gem/e1643241e823?usp=sharing" TargetMode="External"/><Relationship Id="rId2" Type="http://schemas.openxmlformats.org/officeDocument/2006/relationships/hyperlink" Target="https://gemini.google.com/gem/e1643241e823?usp=sharing" TargetMode="External"/><Relationship Id="rId16" Type="http://schemas.openxmlformats.org/officeDocument/2006/relationships/table" Target="../tables/table8.xml"/><Relationship Id="rId20" Type="http://schemas.openxmlformats.org/officeDocument/2006/relationships/table" Target="../tables/table12.xml"/><Relationship Id="rId29" Type="http://schemas.openxmlformats.org/officeDocument/2006/relationships/table" Target="../tables/table21.xml"/><Relationship Id="rId41" Type="http://schemas.openxmlformats.org/officeDocument/2006/relationships/table" Target="../tables/table33.xml"/><Relationship Id="rId1" Type="http://schemas.openxmlformats.org/officeDocument/2006/relationships/hyperlink" Target="https://gemini.google.com/gem/e1643241e823?usp=sharing" TargetMode="External"/><Relationship Id="rId6" Type="http://schemas.openxmlformats.org/officeDocument/2006/relationships/hyperlink" Target="https://gemini.google.com/gem/e1643241e823?usp=sharing" TargetMode="External"/><Relationship Id="rId11" Type="http://schemas.openxmlformats.org/officeDocument/2006/relationships/table" Target="../tables/table3.xml"/><Relationship Id="rId24" Type="http://schemas.openxmlformats.org/officeDocument/2006/relationships/table" Target="../tables/table16.xml"/><Relationship Id="rId32" Type="http://schemas.openxmlformats.org/officeDocument/2006/relationships/table" Target="../tables/table24.xml"/><Relationship Id="rId37" Type="http://schemas.openxmlformats.org/officeDocument/2006/relationships/table" Target="../tables/table29.xml"/><Relationship Id="rId40" Type="http://schemas.openxmlformats.org/officeDocument/2006/relationships/table" Target="../tables/table32.xml"/><Relationship Id="rId5" Type="http://schemas.openxmlformats.org/officeDocument/2006/relationships/hyperlink" Target="https://gemini.google.com/gem/e1643241e823?usp=sharing" TargetMode="External"/><Relationship Id="rId15" Type="http://schemas.openxmlformats.org/officeDocument/2006/relationships/table" Target="../tables/table7.xml"/><Relationship Id="rId23" Type="http://schemas.openxmlformats.org/officeDocument/2006/relationships/table" Target="../tables/table15.xml"/><Relationship Id="rId28" Type="http://schemas.openxmlformats.org/officeDocument/2006/relationships/table" Target="../tables/table20.xml"/><Relationship Id="rId36" Type="http://schemas.openxmlformats.org/officeDocument/2006/relationships/table" Target="../tables/table28.xml"/><Relationship Id="rId10" Type="http://schemas.openxmlformats.org/officeDocument/2006/relationships/table" Target="../tables/table2.xml"/><Relationship Id="rId19" Type="http://schemas.openxmlformats.org/officeDocument/2006/relationships/table" Target="../tables/table11.xml"/><Relationship Id="rId31" Type="http://schemas.openxmlformats.org/officeDocument/2006/relationships/table" Target="../tables/table23.xml"/><Relationship Id="rId4" Type="http://schemas.openxmlformats.org/officeDocument/2006/relationships/hyperlink" Target="https://gemini.google.com/gem/e1643241e823?usp=sharing" TargetMode="External"/><Relationship Id="rId9" Type="http://schemas.openxmlformats.org/officeDocument/2006/relationships/printerSettings" Target="../printerSettings/printerSettings1.bin"/><Relationship Id="rId14" Type="http://schemas.openxmlformats.org/officeDocument/2006/relationships/table" Target="../tables/table6.xml"/><Relationship Id="rId22" Type="http://schemas.openxmlformats.org/officeDocument/2006/relationships/table" Target="../tables/table14.xml"/><Relationship Id="rId27" Type="http://schemas.openxmlformats.org/officeDocument/2006/relationships/table" Target="../tables/table19.xml"/><Relationship Id="rId30" Type="http://schemas.openxmlformats.org/officeDocument/2006/relationships/table" Target="../tables/table22.xml"/><Relationship Id="rId35" Type="http://schemas.openxmlformats.org/officeDocument/2006/relationships/table" Target="../tables/table27.xml"/><Relationship Id="rId8" Type="http://schemas.openxmlformats.org/officeDocument/2006/relationships/hyperlink" Target="https://gemini.google.com/gem/e1643241e823?usp=sharing" TargetMode="External"/><Relationship Id="rId3" Type="http://schemas.openxmlformats.org/officeDocument/2006/relationships/hyperlink" Target="https://gemini.google.com/gem/e1643241e823?usp=sharing" TargetMode="External"/><Relationship Id="rId12" Type="http://schemas.openxmlformats.org/officeDocument/2006/relationships/table" Target="../tables/table4.xml"/><Relationship Id="rId17" Type="http://schemas.openxmlformats.org/officeDocument/2006/relationships/table" Target="../tables/table9.xml"/><Relationship Id="rId25" Type="http://schemas.openxmlformats.org/officeDocument/2006/relationships/table" Target="../tables/table17.xml"/><Relationship Id="rId33" Type="http://schemas.openxmlformats.org/officeDocument/2006/relationships/table" Target="../tables/table25.xml"/><Relationship Id="rId38"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zoomScale="98" zoomScaleNormal="98" workbookViewId="0">
      <selection activeCell="F12" sqref="F12"/>
    </sheetView>
  </sheetViews>
  <sheetFormatPr defaultColWidth="8.7109375" defaultRowHeight="14.45"/>
  <cols>
    <col min="1" max="1" width="14.42578125" customWidth="1"/>
    <col min="2" max="2" width="6.42578125" customWidth="1"/>
    <col min="3" max="3" width="9.42578125" customWidth="1"/>
    <col min="4" max="11" width="9.28515625" style="1" customWidth="1"/>
  </cols>
  <sheetData>
    <row r="1" spans="1:11" ht="14.25" customHeight="1">
      <c r="A1" s="2" t="s">
        <v>0</v>
      </c>
      <c r="B1" s="3" t="s">
        <v>1</v>
      </c>
      <c r="C1" s="3" t="s">
        <v>2</v>
      </c>
      <c r="D1" s="4" t="s">
        <v>3</v>
      </c>
      <c r="E1" s="5" t="s">
        <v>4</v>
      </c>
      <c r="F1" s="5" t="s">
        <v>5</v>
      </c>
      <c r="G1" s="5" t="s">
        <v>6</v>
      </c>
      <c r="H1" s="5" t="s">
        <v>7</v>
      </c>
      <c r="I1" s="5" t="s">
        <v>8</v>
      </c>
      <c r="J1" s="5" t="s">
        <v>9</v>
      </c>
      <c r="K1" s="6" t="s">
        <v>10</v>
      </c>
    </row>
    <row r="2" spans="1:11" ht="14.25" customHeight="1">
      <c r="A2" s="7" t="s">
        <v>11</v>
      </c>
      <c r="B2" s="8">
        <v>2</v>
      </c>
      <c r="C2" s="8">
        <f>COUNTIF(D2:K2, "V")</f>
        <v>1</v>
      </c>
      <c r="D2" s="9" t="str">
        <f>Logboek!C18</f>
        <v>V</v>
      </c>
      <c r="E2" s="9" t="str">
        <f>Logboek!C46</f>
        <v>-</v>
      </c>
      <c r="F2" s="9" t="str">
        <f>Logboek!C74</f>
        <v>-</v>
      </c>
      <c r="G2" s="9" t="str">
        <f>Logboek!C102</f>
        <v>-</v>
      </c>
      <c r="H2" s="9" t="str">
        <f>Logboek!C130</f>
        <v>-</v>
      </c>
      <c r="I2" s="9" t="str">
        <f>Logboek!C158</f>
        <v>-</v>
      </c>
      <c r="J2" s="9" t="str">
        <f>Logboek!C186</f>
        <v>-</v>
      </c>
      <c r="K2" s="10" t="str">
        <f>Logboek!C214</f>
        <v>-</v>
      </c>
    </row>
    <row r="3" spans="1:11" ht="14.25" customHeight="1">
      <c r="A3" s="7" t="s">
        <v>12</v>
      </c>
      <c r="B3" s="8">
        <v>4</v>
      </c>
      <c r="C3" s="8">
        <f>COUNTIF(D3:K3, "V")</f>
        <v>1</v>
      </c>
      <c r="D3" s="9" t="str">
        <f>Logboek!C19</f>
        <v>V</v>
      </c>
      <c r="E3" s="9" t="str">
        <f>Logboek!C47</f>
        <v>-</v>
      </c>
      <c r="F3" s="9" t="str">
        <f>Logboek!C75</f>
        <v>-</v>
      </c>
      <c r="G3" s="9" t="str">
        <f>Logboek!C103</f>
        <v>-</v>
      </c>
      <c r="H3" s="9" t="str">
        <f>Logboek!C131</f>
        <v>-</v>
      </c>
      <c r="I3" s="9" t="str">
        <f>Logboek!C159</f>
        <v>-</v>
      </c>
      <c r="J3" s="9" t="str">
        <f>Logboek!C187</f>
        <v>-</v>
      </c>
      <c r="K3" s="10" t="str">
        <f>Logboek!C215</f>
        <v>-</v>
      </c>
    </row>
    <row r="4" spans="1:11" ht="14.25" customHeight="1">
      <c r="A4" s="7" t="s">
        <v>13</v>
      </c>
      <c r="B4" s="8">
        <v>2</v>
      </c>
      <c r="C4" s="8">
        <f>COUNTIF(D4:K4, "V")</f>
        <v>0</v>
      </c>
      <c r="D4" s="9" t="str">
        <f>Logboek!C20</f>
        <v>-</v>
      </c>
      <c r="E4" s="9" t="str">
        <f>Logboek!C48</f>
        <v>-</v>
      </c>
      <c r="F4" s="9" t="str">
        <f>Logboek!C76</f>
        <v>-</v>
      </c>
      <c r="G4" s="9" t="str">
        <f>Logboek!C104</f>
        <v>-</v>
      </c>
      <c r="H4" s="9" t="str">
        <f>Logboek!C132</f>
        <v>-</v>
      </c>
      <c r="I4" s="9" t="str">
        <f>Logboek!C160</f>
        <v>-</v>
      </c>
      <c r="J4" s="9" t="str">
        <f>Logboek!C188</f>
        <v>-</v>
      </c>
      <c r="K4" s="10" t="str">
        <f>Logboek!C216</f>
        <v>-</v>
      </c>
    </row>
    <row r="5" spans="1:11" ht="14.25" customHeight="1">
      <c r="A5" s="7" t="s">
        <v>14</v>
      </c>
      <c r="B5" s="8">
        <v>4</v>
      </c>
      <c r="C5" s="8">
        <f>COUNTIF(D5:K5, "V")</f>
        <v>1</v>
      </c>
      <c r="D5" s="9" t="str">
        <f>Logboek!C21</f>
        <v>V</v>
      </c>
      <c r="E5" s="9" t="str">
        <f>Logboek!C49</f>
        <v>-</v>
      </c>
      <c r="F5" s="9" t="str">
        <f>Logboek!C77</f>
        <v>-</v>
      </c>
      <c r="G5" s="9" t="str">
        <f>Logboek!C105</f>
        <v>-</v>
      </c>
      <c r="H5" s="9" t="str">
        <f>Logboek!C133</f>
        <v>-</v>
      </c>
      <c r="I5" s="9" t="str">
        <f>Logboek!C161</f>
        <v>-</v>
      </c>
      <c r="J5" s="9" t="str">
        <f>Logboek!C189</f>
        <v>-</v>
      </c>
      <c r="K5" s="10" t="str">
        <f>Logboek!C217</f>
        <v>-</v>
      </c>
    </row>
    <row r="6" spans="1:11" ht="14.25" customHeight="1">
      <c r="A6" s="7" t="s">
        <v>15</v>
      </c>
      <c r="B6" s="8">
        <v>6</v>
      </c>
      <c r="C6" s="8">
        <f>COUNTIF(D6:K6, "V")</f>
        <v>1</v>
      </c>
      <c r="D6" s="9" t="str">
        <f>Logboek!C22</f>
        <v>V</v>
      </c>
      <c r="E6" s="9" t="str">
        <f>Logboek!C50</f>
        <v>-</v>
      </c>
      <c r="F6" s="9" t="str">
        <f>Logboek!C78</f>
        <v>-</v>
      </c>
      <c r="G6" s="9" t="str">
        <f>Logboek!C106</f>
        <v>-</v>
      </c>
      <c r="H6" s="9" t="str">
        <f>Logboek!C134</f>
        <v>-</v>
      </c>
      <c r="I6" s="9" t="str">
        <f>Logboek!C162</f>
        <v>-</v>
      </c>
      <c r="J6" s="9" t="str">
        <f>Logboek!C190</f>
        <v>-</v>
      </c>
      <c r="K6" s="10" t="str">
        <f>Logboek!C218</f>
        <v>-</v>
      </c>
    </row>
    <row r="7" spans="1:11" ht="14.25" customHeight="1">
      <c r="A7" s="11" t="s">
        <v>16</v>
      </c>
      <c r="B7" s="12">
        <f>SUM(B2:B6)</f>
        <v>18</v>
      </c>
      <c r="C7" s="12">
        <f>SUM(D6:K7)</f>
        <v>4</v>
      </c>
      <c r="D7" s="13">
        <f t="shared" ref="D7:K7" si="0">COUNTIF(D2:D6, "V")</f>
        <v>4</v>
      </c>
      <c r="E7" s="13">
        <f t="shared" si="0"/>
        <v>0</v>
      </c>
      <c r="F7" s="13">
        <f t="shared" si="0"/>
        <v>0</v>
      </c>
      <c r="G7" s="13">
        <f t="shared" si="0"/>
        <v>0</v>
      </c>
      <c r="H7" s="13">
        <f t="shared" si="0"/>
        <v>0</v>
      </c>
      <c r="I7" s="13">
        <f t="shared" si="0"/>
        <v>0</v>
      </c>
      <c r="J7" s="13">
        <f t="shared" si="0"/>
        <v>0</v>
      </c>
      <c r="K7" s="14">
        <f t="shared" si="0"/>
        <v>0</v>
      </c>
    </row>
    <row r="9" spans="1:11">
      <c r="A9" s="101" t="s">
        <v>17</v>
      </c>
      <c r="B9" s="102" t="s">
        <v>18</v>
      </c>
      <c r="C9" s="102"/>
      <c r="D9" s="102"/>
      <c r="E9" s="102"/>
      <c r="F9" s="102"/>
      <c r="G9" s="102"/>
      <c r="H9" s="102"/>
      <c r="I9" s="102"/>
      <c r="J9" s="102"/>
      <c r="K9" s="102"/>
    </row>
  </sheetData>
  <mergeCells count="1">
    <mergeCell ref="B9:K9"/>
  </mergeCells>
  <hyperlinks>
    <hyperlink ref="D1" location="Logboek!A1" display="Sprint 1" xr:uid="{00000000-0004-0000-0000-000000000000}"/>
    <hyperlink ref="E1" location="Logboek!A29" display="Sprint 2" xr:uid="{00000000-0004-0000-0000-000001000000}"/>
    <hyperlink ref="F1" location="Logboek!A57" display="Sprint 3" xr:uid="{00000000-0004-0000-0000-000002000000}"/>
    <hyperlink ref="G1" location="Logboek!A85" display="Sprint 4" xr:uid="{00000000-0004-0000-0000-000003000000}"/>
    <hyperlink ref="H1" location="Logboek!A113" display="Sprint 5" xr:uid="{00000000-0004-0000-0000-000004000000}"/>
    <hyperlink ref="I1" location="Logboek!A141" display="Sprint 6" xr:uid="{00000000-0004-0000-0000-000005000000}"/>
    <hyperlink ref="J1" location="Logboek!A169" display="Sprint 7" xr:uid="{00000000-0004-0000-0000-000006000000}"/>
    <hyperlink ref="K1" location="Logboek!A197" display="Sprint 8" xr:uid="{00000000-0004-0000-0000-000007000000}"/>
  </hyperlinks>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3"/>
  <sheetViews>
    <sheetView tabSelected="1" topLeftCell="A6" zoomScale="89" zoomScaleNormal="89" workbookViewId="0">
      <selection activeCell="E7" sqref="E7"/>
    </sheetView>
  </sheetViews>
  <sheetFormatPr defaultColWidth="50.7109375" defaultRowHeight="14.45" outlineLevelRow="1"/>
  <cols>
    <col min="1" max="1" width="9.42578125" customWidth="1"/>
    <col min="2" max="4" width="50.7109375" customWidth="1"/>
  </cols>
  <sheetData>
    <row r="1" spans="1:4" ht="17.45" thickBot="1">
      <c r="A1" s="103" t="s">
        <v>19</v>
      </c>
      <c r="B1" s="103"/>
      <c r="C1" s="103"/>
      <c r="D1" s="103"/>
    </row>
    <row r="2" spans="1:4" outlineLevel="1">
      <c r="A2" s="15"/>
      <c r="B2" s="15"/>
      <c r="C2" s="15"/>
      <c r="D2" s="15"/>
    </row>
    <row r="3" spans="1:4" ht="15" outlineLevel="1" thickBot="1">
      <c r="A3" s="16" t="s">
        <v>20</v>
      </c>
      <c r="B3" s="16"/>
      <c r="C3" s="67"/>
      <c r="D3" s="67" t="s">
        <v>21</v>
      </c>
    </row>
    <row r="4" spans="1:4" outlineLevel="1">
      <c r="A4" s="17" t="s">
        <v>22</v>
      </c>
      <c r="B4" s="18" t="s">
        <v>23</v>
      </c>
      <c r="C4" s="18" t="s">
        <v>24</v>
      </c>
      <c r="D4" s="19" t="s">
        <v>25</v>
      </c>
    </row>
    <row r="5" spans="1:4" ht="124.15" customHeight="1" outlineLevel="1">
      <c r="A5" s="20" t="s">
        <v>26</v>
      </c>
      <c r="B5" s="21" t="s">
        <v>27</v>
      </c>
      <c r="C5" s="21" t="s">
        <v>28</v>
      </c>
      <c r="D5" s="22" t="s">
        <v>29</v>
      </c>
    </row>
    <row r="6" spans="1:4" ht="79.150000000000006" customHeight="1" outlineLevel="1">
      <c r="A6" s="20" t="s">
        <v>30</v>
      </c>
      <c r="B6" s="23" t="s">
        <v>31</v>
      </c>
      <c r="C6" s="21" t="s">
        <v>32</v>
      </c>
      <c r="D6" s="22" t="s">
        <v>33</v>
      </c>
    </row>
    <row r="7" spans="1:4" ht="109.15" customHeight="1" outlineLevel="1">
      <c r="A7" s="20" t="s">
        <v>34</v>
      </c>
      <c r="B7" s="23" t="s">
        <v>35</v>
      </c>
      <c r="C7" s="21" t="s">
        <v>36</v>
      </c>
      <c r="D7" s="22" t="s">
        <v>37</v>
      </c>
    </row>
    <row r="8" spans="1:4" ht="109.15" customHeight="1" outlineLevel="1">
      <c r="A8" s="20" t="s">
        <v>30</v>
      </c>
      <c r="B8" s="23" t="s">
        <v>38</v>
      </c>
      <c r="C8" s="21" t="s">
        <v>39</v>
      </c>
      <c r="D8" s="22" t="s">
        <v>40</v>
      </c>
    </row>
    <row r="9" spans="1:4" ht="40.9" outlineLevel="1" thickBot="1">
      <c r="A9" s="24"/>
      <c r="B9" s="25" t="s">
        <v>41</v>
      </c>
      <c r="C9" s="26" t="s">
        <v>42</v>
      </c>
      <c r="D9" s="27" t="s">
        <v>42</v>
      </c>
    </row>
    <row r="10" spans="1:4" outlineLevel="1">
      <c r="A10" s="15"/>
      <c r="B10" s="15"/>
      <c r="C10" s="15"/>
      <c r="D10" s="15"/>
    </row>
    <row r="11" spans="1:4" ht="15" outlineLevel="1" thickBot="1">
      <c r="A11" s="16" t="s">
        <v>43</v>
      </c>
      <c r="B11" s="16"/>
      <c r="C11" s="16"/>
      <c r="D11" s="16"/>
    </row>
    <row r="12" spans="1:4" outlineLevel="1">
      <c r="A12" s="17" t="s">
        <v>44</v>
      </c>
      <c r="B12" s="18" t="s">
        <v>45</v>
      </c>
      <c r="C12" s="99" t="s">
        <v>46</v>
      </c>
      <c r="D12" s="19" t="s">
        <v>47</v>
      </c>
    </row>
    <row r="13" spans="1:4" ht="34.15" customHeight="1" outlineLevel="1">
      <c r="A13" s="28" t="s">
        <v>48</v>
      </c>
      <c r="B13" s="96"/>
      <c r="C13" s="31"/>
      <c r="D13" s="98" t="s">
        <v>49</v>
      </c>
    </row>
    <row r="14" spans="1:4" outlineLevel="1">
      <c r="A14" s="68"/>
      <c r="B14" s="97"/>
      <c r="C14" s="31"/>
      <c r="D14" s="98"/>
    </row>
    <row r="15" spans="1:4" outlineLevel="1">
      <c r="A15" s="72"/>
      <c r="B15" s="72"/>
      <c r="C15" s="72"/>
      <c r="D15" s="72"/>
    </row>
    <row r="16" spans="1:4" ht="15" outlineLevel="1" thickBot="1">
      <c r="A16" s="71" t="s">
        <v>50</v>
      </c>
      <c r="B16" s="71"/>
      <c r="C16" s="71"/>
      <c r="D16" s="71"/>
    </row>
    <row r="17" spans="1:4" outlineLevel="1">
      <c r="A17" s="17" t="s">
        <v>0</v>
      </c>
      <c r="B17" s="18" t="s">
        <v>51</v>
      </c>
      <c r="C17" s="18" t="s">
        <v>52</v>
      </c>
      <c r="D17" s="19" t="s">
        <v>53</v>
      </c>
    </row>
    <row r="18" spans="1:4" ht="109.15" customHeight="1" outlineLevel="1">
      <c r="A18" s="30" t="s">
        <v>54</v>
      </c>
      <c r="B18" s="31" t="s">
        <v>55</v>
      </c>
      <c r="C18" s="32" t="s">
        <v>56</v>
      </c>
      <c r="D18" s="22" t="s">
        <v>57</v>
      </c>
    </row>
    <row r="19" spans="1:4" ht="94.15" customHeight="1" outlineLevel="1">
      <c r="A19" s="30" t="s">
        <v>58</v>
      </c>
      <c r="B19" s="31" t="s">
        <v>59</v>
      </c>
      <c r="C19" s="32" t="s">
        <v>56</v>
      </c>
      <c r="D19" s="22" t="s">
        <v>60</v>
      </c>
    </row>
    <row r="20" spans="1:4" ht="19.149999999999999" customHeight="1" outlineLevel="1">
      <c r="A20" s="30" t="s">
        <v>61</v>
      </c>
      <c r="B20" s="31" t="s">
        <v>62</v>
      </c>
      <c r="C20" s="32" t="s">
        <v>63</v>
      </c>
      <c r="D20" s="22"/>
    </row>
    <row r="21" spans="1:4" ht="244.15" customHeight="1" outlineLevel="1">
      <c r="A21" s="30" t="s">
        <v>64</v>
      </c>
      <c r="B21" s="31" t="s">
        <v>65</v>
      </c>
      <c r="C21" s="32" t="s">
        <v>56</v>
      </c>
      <c r="D21" s="22" t="s">
        <v>66</v>
      </c>
    </row>
    <row r="22" spans="1:4" ht="184.15" customHeight="1" outlineLevel="1" thickBot="1">
      <c r="A22" s="29" t="s">
        <v>67</v>
      </c>
      <c r="B22" s="33" t="s">
        <v>68</v>
      </c>
      <c r="C22" s="34" t="s">
        <v>56</v>
      </c>
      <c r="D22" s="27" t="s">
        <v>69</v>
      </c>
    </row>
    <row r="23" spans="1:4" outlineLevel="1">
      <c r="A23" s="15"/>
      <c r="B23" s="35"/>
      <c r="C23" s="36"/>
      <c r="D23" s="36"/>
    </row>
    <row r="24" spans="1:4" ht="15" outlineLevel="1" thickBot="1">
      <c r="A24" s="16" t="s">
        <v>70</v>
      </c>
      <c r="B24" s="37"/>
      <c r="C24" s="38"/>
      <c r="D24" s="38"/>
    </row>
    <row r="25" spans="1:4" outlineLevel="1">
      <c r="A25" s="17" t="s">
        <v>44</v>
      </c>
      <c r="B25" s="39" t="s">
        <v>71</v>
      </c>
      <c r="C25" s="40" t="s">
        <v>72</v>
      </c>
      <c r="D25" s="19" t="s">
        <v>73</v>
      </c>
    </row>
    <row r="26" spans="1:4" ht="109.15" customHeight="1" outlineLevel="1">
      <c r="A26" s="28" t="s">
        <v>74</v>
      </c>
      <c r="B26" s="21" t="s">
        <v>75</v>
      </c>
      <c r="C26" s="100" t="s">
        <v>76</v>
      </c>
      <c r="D26" s="100" t="s">
        <v>77</v>
      </c>
    </row>
    <row r="27" spans="1:4" outlineLevel="1">
      <c r="A27" s="73"/>
      <c r="B27" s="74"/>
      <c r="C27" s="100"/>
      <c r="D27" s="100"/>
    </row>
    <row r="28" spans="1:4">
      <c r="A28" s="72"/>
      <c r="B28" s="72"/>
      <c r="C28" s="72"/>
      <c r="D28" s="72"/>
    </row>
    <row r="29" spans="1:4" ht="17.45" thickBot="1">
      <c r="A29" s="104" t="s">
        <v>78</v>
      </c>
      <c r="B29" s="104"/>
      <c r="C29" s="104"/>
      <c r="D29" s="104"/>
    </row>
    <row r="30" spans="1:4" outlineLevel="1">
      <c r="A30" s="41"/>
      <c r="B30" s="41"/>
      <c r="C30" s="41"/>
      <c r="D30" s="41"/>
    </row>
    <row r="31" spans="1:4" outlineLevel="1">
      <c r="A31" s="42" t="s">
        <v>79</v>
      </c>
      <c r="B31" s="42"/>
      <c r="C31" s="42"/>
      <c r="D31" s="67" t="s">
        <v>21</v>
      </c>
    </row>
    <row r="32" spans="1:4" outlineLevel="1">
      <c r="A32" s="43" t="s">
        <v>22</v>
      </c>
      <c r="B32" s="44" t="s">
        <v>23</v>
      </c>
      <c r="C32" s="44" t="s">
        <v>24</v>
      </c>
      <c r="D32" s="45" t="s">
        <v>25</v>
      </c>
    </row>
    <row r="33" spans="1:4" ht="40.15" outlineLevel="1">
      <c r="A33" s="46" t="s">
        <v>34</v>
      </c>
      <c r="B33" s="47" t="s">
        <v>41</v>
      </c>
      <c r="C33" s="48" t="s">
        <v>42</v>
      </c>
      <c r="D33" s="49" t="s">
        <v>42</v>
      </c>
    </row>
    <row r="34" spans="1:4" ht="40.15" outlineLevel="1">
      <c r="A34" s="46"/>
      <c r="B34" s="47" t="s">
        <v>41</v>
      </c>
      <c r="C34" s="48" t="s">
        <v>42</v>
      </c>
      <c r="D34" s="49" t="s">
        <v>42</v>
      </c>
    </row>
    <row r="35" spans="1:4" ht="40.15" outlineLevel="1">
      <c r="A35" s="46"/>
      <c r="B35" s="47" t="s">
        <v>41</v>
      </c>
      <c r="C35" s="48" t="s">
        <v>42</v>
      </c>
      <c r="D35" s="49" t="s">
        <v>42</v>
      </c>
    </row>
    <row r="36" spans="1:4" ht="40.15" outlineLevel="1">
      <c r="A36" s="46"/>
      <c r="B36" s="47" t="s">
        <v>41</v>
      </c>
      <c r="C36" s="48" t="s">
        <v>42</v>
      </c>
      <c r="D36" s="49" t="s">
        <v>42</v>
      </c>
    </row>
    <row r="37" spans="1:4" ht="40.15" outlineLevel="1">
      <c r="A37" s="50"/>
      <c r="B37" s="51" t="s">
        <v>41</v>
      </c>
      <c r="C37" s="52" t="s">
        <v>42</v>
      </c>
      <c r="D37" s="53" t="s">
        <v>42</v>
      </c>
    </row>
    <row r="38" spans="1:4" outlineLevel="1">
      <c r="A38" s="41"/>
      <c r="B38" s="41"/>
      <c r="C38" s="41"/>
      <c r="D38" s="41"/>
    </row>
    <row r="39" spans="1:4" outlineLevel="1">
      <c r="A39" s="42" t="s">
        <v>43</v>
      </c>
      <c r="B39" s="42"/>
      <c r="C39" s="42"/>
      <c r="D39" s="42"/>
    </row>
    <row r="40" spans="1:4" outlineLevel="1">
      <c r="A40" s="43" t="s">
        <v>44</v>
      </c>
      <c r="B40" s="44" t="s">
        <v>45</v>
      </c>
      <c r="C40" s="44" t="s">
        <v>46</v>
      </c>
      <c r="D40" s="45" t="s">
        <v>47</v>
      </c>
    </row>
    <row r="41" spans="1:4" outlineLevel="1">
      <c r="A41" s="54"/>
      <c r="B41" s="48"/>
      <c r="C41" s="48"/>
      <c r="D41" s="49"/>
    </row>
    <row r="42" spans="1:4" outlineLevel="1">
      <c r="A42" s="75"/>
      <c r="B42" s="76"/>
      <c r="C42" s="76"/>
      <c r="D42" s="77"/>
    </row>
    <row r="43" spans="1:4" outlineLevel="1">
      <c r="A43" s="85"/>
      <c r="B43" s="86"/>
      <c r="C43" s="86"/>
      <c r="D43" s="87"/>
    </row>
    <row r="44" spans="1:4" ht="15" outlineLevel="1" thickBot="1">
      <c r="A44" s="78" t="s">
        <v>50</v>
      </c>
      <c r="B44" s="78"/>
      <c r="C44" s="78"/>
      <c r="D44" s="78"/>
    </row>
    <row r="45" spans="1:4" outlineLevel="1">
      <c r="A45" s="43" t="s">
        <v>0</v>
      </c>
      <c r="B45" s="44" t="s">
        <v>51</v>
      </c>
      <c r="C45" s="44" t="s">
        <v>52</v>
      </c>
      <c r="D45" s="45" t="s">
        <v>53</v>
      </c>
    </row>
    <row r="46" spans="1:4" outlineLevel="1">
      <c r="A46" s="56" t="s">
        <v>54</v>
      </c>
      <c r="B46" s="57" t="s">
        <v>55</v>
      </c>
      <c r="C46" s="58" t="s">
        <v>63</v>
      </c>
      <c r="D46" s="49"/>
    </row>
    <row r="47" spans="1:4" ht="27" outlineLevel="1">
      <c r="A47" s="56" t="s">
        <v>58</v>
      </c>
      <c r="B47" s="57" t="s">
        <v>59</v>
      </c>
      <c r="C47" s="58" t="s">
        <v>63</v>
      </c>
      <c r="D47" s="49"/>
    </row>
    <row r="48" spans="1:4" outlineLevel="1">
      <c r="A48" s="56" t="s">
        <v>61</v>
      </c>
      <c r="B48" s="57" t="s">
        <v>62</v>
      </c>
      <c r="C48" s="58" t="s">
        <v>63</v>
      </c>
      <c r="D48" s="49"/>
    </row>
    <row r="49" spans="1:4" outlineLevel="1">
      <c r="A49" s="56" t="s">
        <v>64</v>
      </c>
      <c r="B49" s="57" t="s">
        <v>65</v>
      </c>
      <c r="C49" s="58" t="s">
        <v>63</v>
      </c>
      <c r="D49" s="49"/>
    </row>
    <row r="50" spans="1:4" ht="15" outlineLevel="1" thickBot="1">
      <c r="A50" s="55" t="s">
        <v>67</v>
      </c>
      <c r="B50" s="59" t="s">
        <v>68</v>
      </c>
      <c r="C50" s="60" t="s">
        <v>63</v>
      </c>
      <c r="D50" s="53"/>
    </row>
    <row r="51" spans="1:4" outlineLevel="1">
      <c r="A51" s="41"/>
      <c r="B51" s="61"/>
      <c r="C51" s="62"/>
      <c r="D51" s="62"/>
    </row>
    <row r="52" spans="1:4" outlineLevel="1">
      <c r="A52" s="42" t="s">
        <v>70</v>
      </c>
      <c r="B52" s="63"/>
      <c r="C52" s="64"/>
      <c r="D52" s="64"/>
    </row>
    <row r="53" spans="1:4" outlineLevel="1">
      <c r="A53" s="43" t="s">
        <v>44</v>
      </c>
      <c r="B53" s="65" t="s">
        <v>71</v>
      </c>
      <c r="C53" s="66" t="s">
        <v>72</v>
      </c>
      <c r="D53" s="45" t="s">
        <v>73</v>
      </c>
    </row>
    <row r="54" spans="1:4" outlineLevel="1">
      <c r="A54" s="54"/>
      <c r="B54" s="48"/>
      <c r="C54" s="48"/>
      <c r="D54" s="49"/>
    </row>
    <row r="55" spans="1:4" outlineLevel="1">
      <c r="A55" s="79"/>
      <c r="B55" s="80"/>
      <c r="C55" s="76"/>
      <c r="D55" s="77"/>
    </row>
    <row r="56" spans="1:4">
      <c r="A56" s="85"/>
      <c r="B56" s="86"/>
      <c r="C56" s="86"/>
      <c r="D56" s="87"/>
    </row>
    <row r="57" spans="1:4" ht="17.45" thickBot="1">
      <c r="A57" s="105" t="s">
        <v>80</v>
      </c>
      <c r="B57" s="105"/>
      <c r="C57" s="105"/>
      <c r="D57" s="105"/>
    </row>
    <row r="58" spans="1:4" outlineLevel="1">
      <c r="A58" s="15"/>
      <c r="B58" s="15"/>
      <c r="C58" s="15"/>
      <c r="D58" s="15"/>
    </row>
    <row r="59" spans="1:4" outlineLevel="1">
      <c r="A59" s="16" t="s">
        <v>79</v>
      </c>
      <c r="B59" s="16"/>
      <c r="C59" s="16"/>
      <c r="D59" s="67" t="s">
        <v>21</v>
      </c>
    </row>
    <row r="60" spans="1:4" outlineLevel="1">
      <c r="A60" s="17" t="s">
        <v>22</v>
      </c>
      <c r="B60" s="18" t="s">
        <v>23</v>
      </c>
      <c r="C60" s="18" t="s">
        <v>24</v>
      </c>
      <c r="D60" s="19" t="s">
        <v>25</v>
      </c>
    </row>
    <row r="61" spans="1:4" ht="40.15" outlineLevel="1">
      <c r="A61" s="20" t="s">
        <v>34</v>
      </c>
      <c r="B61" s="23" t="s">
        <v>41</v>
      </c>
      <c r="C61" s="21" t="s">
        <v>42</v>
      </c>
      <c r="D61" s="22" t="s">
        <v>42</v>
      </c>
    </row>
    <row r="62" spans="1:4" ht="40.15" outlineLevel="1">
      <c r="A62" s="20"/>
      <c r="B62" s="23" t="s">
        <v>41</v>
      </c>
      <c r="C62" s="21" t="s">
        <v>42</v>
      </c>
      <c r="D62" s="22" t="s">
        <v>42</v>
      </c>
    </row>
    <row r="63" spans="1:4" ht="40.15" outlineLevel="1">
      <c r="A63" s="20"/>
      <c r="B63" s="23" t="s">
        <v>41</v>
      </c>
      <c r="C63" s="21" t="s">
        <v>42</v>
      </c>
      <c r="D63" s="22" t="s">
        <v>42</v>
      </c>
    </row>
    <row r="64" spans="1:4" ht="40.15" outlineLevel="1">
      <c r="A64" s="20"/>
      <c r="B64" s="23" t="s">
        <v>41</v>
      </c>
      <c r="C64" s="21" t="s">
        <v>42</v>
      </c>
      <c r="D64" s="22" t="s">
        <v>42</v>
      </c>
    </row>
    <row r="65" spans="1:4" ht="40.15" outlineLevel="1">
      <c r="A65" s="24"/>
      <c r="B65" s="25" t="s">
        <v>41</v>
      </c>
      <c r="C65" s="26" t="s">
        <v>42</v>
      </c>
      <c r="D65" s="27" t="s">
        <v>42</v>
      </c>
    </row>
    <row r="66" spans="1:4" outlineLevel="1">
      <c r="A66" s="15"/>
      <c r="B66" s="15"/>
      <c r="C66" s="15"/>
      <c r="D66" s="15"/>
    </row>
    <row r="67" spans="1:4" outlineLevel="1">
      <c r="A67" s="16" t="s">
        <v>43</v>
      </c>
      <c r="B67" s="16"/>
      <c r="C67" s="16"/>
      <c r="D67" s="16"/>
    </row>
    <row r="68" spans="1:4" outlineLevel="1">
      <c r="A68" s="17" t="s">
        <v>44</v>
      </c>
      <c r="B68" s="18" t="s">
        <v>45</v>
      </c>
      <c r="C68" s="18" t="s">
        <v>46</v>
      </c>
      <c r="D68" s="19" t="s">
        <v>47</v>
      </c>
    </row>
    <row r="69" spans="1:4" outlineLevel="1">
      <c r="A69" s="28"/>
      <c r="B69" s="21"/>
      <c r="C69" s="21"/>
      <c r="D69" s="22"/>
    </row>
    <row r="70" spans="1:4" outlineLevel="1">
      <c r="A70" s="68"/>
      <c r="B70" s="69"/>
      <c r="C70" s="69"/>
      <c r="D70" s="70"/>
    </row>
    <row r="71" spans="1:4" outlineLevel="1">
      <c r="A71" s="88"/>
      <c r="B71" s="72"/>
      <c r="C71" s="72"/>
      <c r="D71" s="89"/>
    </row>
    <row r="72" spans="1:4" ht="15" outlineLevel="1" thickBot="1">
      <c r="A72" s="71" t="s">
        <v>50</v>
      </c>
      <c r="B72" s="71"/>
      <c r="C72" s="71"/>
      <c r="D72" s="71"/>
    </row>
    <row r="73" spans="1:4" outlineLevel="1">
      <c r="A73" s="17" t="s">
        <v>0</v>
      </c>
      <c r="B73" s="18" t="s">
        <v>51</v>
      </c>
      <c r="C73" s="18" t="s">
        <v>52</v>
      </c>
      <c r="D73" s="19" t="s">
        <v>53</v>
      </c>
    </row>
    <row r="74" spans="1:4" outlineLevel="1">
      <c r="A74" s="30" t="s">
        <v>54</v>
      </c>
      <c r="B74" s="31" t="s">
        <v>55</v>
      </c>
      <c r="C74" s="32" t="s">
        <v>63</v>
      </c>
      <c r="D74" s="22"/>
    </row>
    <row r="75" spans="1:4" ht="27" outlineLevel="1">
      <c r="A75" s="30" t="s">
        <v>58</v>
      </c>
      <c r="B75" s="31" t="s">
        <v>59</v>
      </c>
      <c r="C75" s="32" t="s">
        <v>63</v>
      </c>
      <c r="D75" s="22"/>
    </row>
    <row r="76" spans="1:4" outlineLevel="1">
      <c r="A76" s="30" t="s">
        <v>61</v>
      </c>
      <c r="B76" s="31" t="s">
        <v>62</v>
      </c>
      <c r="C76" s="32" t="s">
        <v>63</v>
      </c>
      <c r="D76" s="22"/>
    </row>
    <row r="77" spans="1:4" outlineLevel="1">
      <c r="A77" s="30" t="s">
        <v>64</v>
      </c>
      <c r="B77" s="31" t="s">
        <v>65</v>
      </c>
      <c r="C77" s="32" t="s">
        <v>63</v>
      </c>
      <c r="D77" s="22"/>
    </row>
    <row r="78" spans="1:4" outlineLevel="1">
      <c r="A78" s="29" t="s">
        <v>67</v>
      </c>
      <c r="B78" s="33" t="s">
        <v>68</v>
      </c>
      <c r="C78" s="34" t="s">
        <v>63</v>
      </c>
      <c r="D78" s="27"/>
    </row>
    <row r="79" spans="1:4" outlineLevel="1">
      <c r="A79" s="15"/>
      <c r="B79" s="35"/>
      <c r="C79" s="36"/>
      <c r="D79" s="36"/>
    </row>
    <row r="80" spans="1:4" outlineLevel="1">
      <c r="A80" s="16" t="s">
        <v>70</v>
      </c>
      <c r="B80" s="37"/>
      <c r="C80" s="38"/>
      <c r="D80" s="38"/>
    </row>
    <row r="81" spans="1:4" outlineLevel="1">
      <c r="A81" s="17" t="s">
        <v>44</v>
      </c>
      <c r="B81" s="39" t="s">
        <v>71</v>
      </c>
      <c r="C81" s="40" t="s">
        <v>72</v>
      </c>
      <c r="D81" s="19" t="s">
        <v>73</v>
      </c>
    </row>
    <row r="82" spans="1:4" outlineLevel="1">
      <c r="A82" s="28"/>
      <c r="B82" s="21"/>
      <c r="C82" s="100"/>
      <c r="D82" s="100"/>
    </row>
    <row r="83" spans="1:4" outlineLevel="1">
      <c r="A83" s="73"/>
      <c r="B83" s="81"/>
      <c r="C83" s="100"/>
      <c r="D83" s="100"/>
    </row>
    <row r="84" spans="1:4">
      <c r="A84" s="88"/>
      <c r="B84" s="72"/>
      <c r="C84" s="72"/>
      <c r="D84" s="89"/>
    </row>
    <row r="85" spans="1:4" ht="17.45" thickBot="1">
      <c r="A85" s="104" t="s">
        <v>81</v>
      </c>
      <c r="B85" s="104"/>
      <c r="C85" s="104"/>
      <c r="D85" s="104"/>
    </row>
    <row r="86" spans="1:4" outlineLevel="1">
      <c r="A86" s="41"/>
      <c r="B86" s="41"/>
      <c r="C86" s="41"/>
      <c r="D86" s="41"/>
    </row>
    <row r="87" spans="1:4" outlineLevel="1">
      <c r="A87" s="42" t="s">
        <v>79</v>
      </c>
      <c r="B87" s="42"/>
      <c r="C87" s="42"/>
      <c r="D87" s="67" t="s">
        <v>21</v>
      </c>
    </row>
    <row r="88" spans="1:4" outlineLevel="1">
      <c r="A88" s="43" t="s">
        <v>22</v>
      </c>
      <c r="B88" s="44" t="s">
        <v>23</v>
      </c>
      <c r="C88" s="44" t="s">
        <v>24</v>
      </c>
      <c r="D88" s="45" t="s">
        <v>25</v>
      </c>
    </row>
    <row r="89" spans="1:4" ht="40.15" outlineLevel="1">
      <c r="A89" s="46" t="s">
        <v>34</v>
      </c>
      <c r="B89" s="47" t="s">
        <v>41</v>
      </c>
      <c r="C89" s="48" t="s">
        <v>42</v>
      </c>
      <c r="D89" s="49" t="s">
        <v>42</v>
      </c>
    </row>
    <row r="90" spans="1:4" ht="40.15" outlineLevel="1">
      <c r="A90" s="46"/>
      <c r="B90" s="47" t="s">
        <v>41</v>
      </c>
      <c r="C90" s="48" t="s">
        <v>42</v>
      </c>
      <c r="D90" s="49" t="s">
        <v>42</v>
      </c>
    </row>
    <row r="91" spans="1:4" ht="40.15" outlineLevel="1">
      <c r="A91" s="46"/>
      <c r="B91" s="47" t="s">
        <v>41</v>
      </c>
      <c r="C91" s="48" t="s">
        <v>42</v>
      </c>
      <c r="D91" s="49" t="s">
        <v>42</v>
      </c>
    </row>
    <row r="92" spans="1:4" ht="40.15" outlineLevel="1">
      <c r="A92" s="46"/>
      <c r="B92" s="47" t="s">
        <v>41</v>
      </c>
      <c r="C92" s="48" t="s">
        <v>42</v>
      </c>
      <c r="D92" s="49" t="s">
        <v>42</v>
      </c>
    </row>
    <row r="93" spans="1:4" ht="40.15" outlineLevel="1">
      <c r="A93" s="50"/>
      <c r="B93" s="51" t="s">
        <v>41</v>
      </c>
      <c r="C93" s="52" t="s">
        <v>42</v>
      </c>
      <c r="D93" s="53" t="s">
        <v>42</v>
      </c>
    </row>
    <row r="94" spans="1:4" outlineLevel="1">
      <c r="A94" s="41"/>
      <c r="B94" s="41"/>
      <c r="C94" s="41"/>
      <c r="D94" s="41"/>
    </row>
    <row r="95" spans="1:4" outlineLevel="1">
      <c r="A95" s="42" t="s">
        <v>43</v>
      </c>
      <c r="B95" s="42"/>
      <c r="C95" s="42"/>
      <c r="D95" s="42"/>
    </row>
    <row r="96" spans="1:4" outlineLevel="1">
      <c r="A96" s="43" t="s">
        <v>44</v>
      </c>
      <c r="B96" s="44" t="s">
        <v>45</v>
      </c>
      <c r="C96" s="44" t="s">
        <v>46</v>
      </c>
      <c r="D96" s="45" t="s">
        <v>47</v>
      </c>
    </row>
    <row r="97" spans="1:4" outlineLevel="1">
      <c r="A97" s="54"/>
      <c r="B97" s="48"/>
      <c r="C97" s="48"/>
      <c r="D97" s="49"/>
    </row>
    <row r="98" spans="1:4" outlineLevel="1">
      <c r="A98" s="75"/>
      <c r="B98" s="76"/>
      <c r="C98" s="76"/>
      <c r="D98" s="77"/>
    </row>
    <row r="99" spans="1:4" outlineLevel="1">
      <c r="A99" s="85"/>
      <c r="B99" s="86"/>
      <c r="C99" s="86"/>
      <c r="D99" s="87"/>
    </row>
    <row r="100" spans="1:4" ht="15" outlineLevel="1" thickBot="1">
      <c r="A100" s="78" t="s">
        <v>50</v>
      </c>
      <c r="B100" s="78"/>
      <c r="C100" s="78"/>
      <c r="D100" s="78"/>
    </row>
    <row r="101" spans="1:4" outlineLevel="1">
      <c r="A101" s="43" t="s">
        <v>0</v>
      </c>
      <c r="B101" s="44" t="s">
        <v>51</v>
      </c>
      <c r="C101" s="44" t="s">
        <v>52</v>
      </c>
      <c r="D101" s="45" t="s">
        <v>53</v>
      </c>
    </row>
    <row r="102" spans="1:4" outlineLevel="1">
      <c r="A102" s="56" t="s">
        <v>54</v>
      </c>
      <c r="B102" s="57" t="s">
        <v>55</v>
      </c>
      <c r="C102" s="58" t="s">
        <v>63</v>
      </c>
      <c r="D102" s="49"/>
    </row>
    <row r="103" spans="1:4" ht="27" outlineLevel="1">
      <c r="A103" s="56" t="s">
        <v>58</v>
      </c>
      <c r="B103" s="57" t="s">
        <v>59</v>
      </c>
      <c r="C103" s="58" t="s">
        <v>63</v>
      </c>
      <c r="D103" s="49"/>
    </row>
    <row r="104" spans="1:4" outlineLevel="1">
      <c r="A104" s="56" t="s">
        <v>61</v>
      </c>
      <c r="B104" s="57" t="s">
        <v>62</v>
      </c>
      <c r="C104" s="58" t="s">
        <v>63</v>
      </c>
      <c r="D104" s="49"/>
    </row>
    <row r="105" spans="1:4" outlineLevel="1">
      <c r="A105" s="56" t="s">
        <v>64</v>
      </c>
      <c r="B105" s="57" t="s">
        <v>65</v>
      </c>
      <c r="C105" s="58" t="s">
        <v>63</v>
      </c>
      <c r="D105" s="49"/>
    </row>
    <row r="106" spans="1:4" outlineLevel="1">
      <c r="A106" s="55" t="s">
        <v>67</v>
      </c>
      <c r="B106" s="59" t="s">
        <v>68</v>
      </c>
      <c r="C106" s="60" t="s">
        <v>63</v>
      </c>
      <c r="D106" s="53"/>
    </row>
    <row r="107" spans="1:4" outlineLevel="1">
      <c r="A107" s="41"/>
      <c r="B107" s="61"/>
      <c r="C107" s="62"/>
      <c r="D107" s="62"/>
    </row>
    <row r="108" spans="1:4" outlineLevel="1">
      <c r="A108" s="42" t="s">
        <v>70</v>
      </c>
      <c r="B108" s="63"/>
      <c r="C108" s="64"/>
      <c r="D108" s="64"/>
    </row>
    <row r="109" spans="1:4" outlineLevel="1">
      <c r="A109" s="43" t="s">
        <v>44</v>
      </c>
      <c r="B109" s="65" t="s">
        <v>71</v>
      </c>
      <c r="C109" s="66" t="s">
        <v>72</v>
      </c>
      <c r="D109" s="45" t="s">
        <v>73</v>
      </c>
    </row>
    <row r="110" spans="1:4" outlineLevel="1">
      <c r="A110" s="54"/>
      <c r="B110" s="48"/>
      <c r="C110" s="48"/>
      <c r="D110" s="49"/>
    </row>
    <row r="111" spans="1:4" outlineLevel="1">
      <c r="A111" s="79"/>
      <c r="B111" s="80"/>
      <c r="C111" s="76"/>
      <c r="D111" s="77"/>
    </row>
    <row r="112" spans="1:4">
      <c r="A112" s="85"/>
      <c r="B112" s="86"/>
      <c r="C112" s="86"/>
      <c r="D112" s="87"/>
    </row>
    <row r="113" spans="1:4" ht="17.45" thickBot="1">
      <c r="A113" s="105" t="s">
        <v>82</v>
      </c>
      <c r="B113" s="105"/>
      <c r="C113" s="105"/>
      <c r="D113" s="105"/>
    </row>
    <row r="114" spans="1:4" outlineLevel="1">
      <c r="A114" s="15"/>
      <c r="B114" s="15"/>
      <c r="C114" s="15"/>
      <c r="D114" s="15"/>
    </row>
    <row r="115" spans="1:4" outlineLevel="1">
      <c r="A115" s="16" t="s">
        <v>79</v>
      </c>
      <c r="B115" s="16"/>
      <c r="C115" s="16"/>
      <c r="D115" s="67" t="s">
        <v>21</v>
      </c>
    </row>
    <row r="116" spans="1:4" outlineLevel="1">
      <c r="A116" s="17" t="s">
        <v>22</v>
      </c>
      <c r="B116" s="18" t="s">
        <v>23</v>
      </c>
      <c r="C116" s="18" t="s">
        <v>24</v>
      </c>
      <c r="D116" s="19" t="s">
        <v>25</v>
      </c>
    </row>
    <row r="117" spans="1:4" ht="40.15" outlineLevel="1">
      <c r="A117" s="20" t="s">
        <v>34</v>
      </c>
      <c r="B117" s="23" t="s">
        <v>41</v>
      </c>
      <c r="C117" s="21" t="s">
        <v>42</v>
      </c>
      <c r="D117" s="22" t="s">
        <v>42</v>
      </c>
    </row>
    <row r="118" spans="1:4" ht="40.15" outlineLevel="1">
      <c r="A118" s="20"/>
      <c r="B118" s="23" t="s">
        <v>41</v>
      </c>
      <c r="C118" s="21" t="s">
        <v>42</v>
      </c>
      <c r="D118" s="22" t="s">
        <v>42</v>
      </c>
    </row>
    <row r="119" spans="1:4" ht="40.15" outlineLevel="1">
      <c r="A119" s="20"/>
      <c r="B119" s="23" t="s">
        <v>41</v>
      </c>
      <c r="C119" s="21" t="s">
        <v>42</v>
      </c>
      <c r="D119" s="22" t="s">
        <v>42</v>
      </c>
    </row>
    <row r="120" spans="1:4" ht="40.15" outlineLevel="1">
      <c r="A120" s="20"/>
      <c r="B120" s="23" t="s">
        <v>41</v>
      </c>
      <c r="C120" s="21" t="s">
        <v>42</v>
      </c>
      <c r="D120" s="22" t="s">
        <v>42</v>
      </c>
    </row>
    <row r="121" spans="1:4" ht="40.15" outlineLevel="1">
      <c r="A121" s="24"/>
      <c r="B121" s="25" t="s">
        <v>41</v>
      </c>
      <c r="C121" s="26" t="s">
        <v>42</v>
      </c>
      <c r="D121" s="27" t="s">
        <v>42</v>
      </c>
    </row>
    <row r="122" spans="1:4" outlineLevel="1">
      <c r="A122" s="15"/>
      <c r="B122" s="15"/>
      <c r="C122" s="15"/>
      <c r="D122" s="15"/>
    </row>
    <row r="123" spans="1:4" outlineLevel="1">
      <c r="A123" s="16" t="s">
        <v>43</v>
      </c>
      <c r="B123" s="16"/>
      <c r="C123" s="16"/>
      <c r="D123" s="16"/>
    </row>
    <row r="124" spans="1:4" outlineLevel="1">
      <c r="A124" s="17" t="s">
        <v>44</v>
      </c>
      <c r="B124" s="18" t="s">
        <v>45</v>
      </c>
      <c r="C124" s="18" t="s">
        <v>46</v>
      </c>
      <c r="D124" s="19" t="s">
        <v>47</v>
      </c>
    </row>
    <row r="125" spans="1:4" outlineLevel="1">
      <c r="A125" s="28"/>
      <c r="B125" s="21"/>
      <c r="C125" s="21"/>
      <c r="D125" s="22"/>
    </row>
    <row r="126" spans="1:4" outlineLevel="1">
      <c r="A126" s="68"/>
      <c r="B126" s="69"/>
      <c r="C126" s="69"/>
      <c r="D126" s="70"/>
    </row>
    <row r="127" spans="1:4" outlineLevel="1">
      <c r="A127" s="88"/>
      <c r="B127" s="72"/>
      <c r="C127" s="72"/>
      <c r="D127" s="89"/>
    </row>
    <row r="128" spans="1:4" ht="15" outlineLevel="1" thickBot="1">
      <c r="A128" s="71" t="s">
        <v>50</v>
      </c>
      <c r="B128" s="71"/>
      <c r="C128" s="71"/>
      <c r="D128" s="71"/>
    </row>
    <row r="129" spans="1:4" outlineLevel="1">
      <c r="A129" s="17" t="s">
        <v>0</v>
      </c>
      <c r="B129" s="18" t="s">
        <v>51</v>
      </c>
      <c r="C129" s="18" t="s">
        <v>52</v>
      </c>
      <c r="D129" s="19" t="s">
        <v>53</v>
      </c>
    </row>
    <row r="130" spans="1:4" outlineLevel="1">
      <c r="A130" s="30" t="s">
        <v>54</v>
      </c>
      <c r="B130" s="31" t="s">
        <v>55</v>
      </c>
      <c r="C130" s="32" t="s">
        <v>63</v>
      </c>
      <c r="D130" s="22"/>
    </row>
    <row r="131" spans="1:4" ht="27" outlineLevel="1">
      <c r="A131" s="30" t="s">
        <v>58</v>
      </c>
      <c r="B131" s="31" t="s">
        <v>59</v>
      </c>
      <c r="C131" s="32" t="s">
        <v>63</v>
      </c>
      <c r="D131" s="22"/>
    </row>
    <row r="132" spans="1:4" outlineLevel="1">
      <c r="A132" s="30" t="s">
        <v>61</v>
      </c>
      <c r="B132" s="31" t="s">
        <v>62</v>
      </c>
      <c r="C132" s="32" t="s">
        <v>63</v>
      </c>
      <c r="D132" s="22"/>
    </row>
    <row r="133" spans="1:4" outlineLevel="1">
      <c r="A133" s="30" t="s">
        <v>64</v>
      </c>
      <c r="B133" s="31" t="s">
        <v>65</v>
      </c>
      <c r="C133" s="32" t="s">
        <v>63</v>
      </c>
      <c r="D133" s="22"/>
    </row>
    <row r="134" spans="1:4" outlineLevel="1">
      <c r="A134" s="29" t="s">
        <v>67</v>
      </c>
      <c r="B134" s="33" t="s">
        <v>68</v>
      </c>
      <c r="C134" s="34" t="s">
        <v>63</v>
      </c>
      <c r="D134" s="27"/>
    </row>
    <row r="135" spans="1:4" outlineLevel="1">
      <c r="A135" s="15"/>
      <c r="B135" s="35"/>
      <c r="C135" s="36"/>
      <c r="D135" s="36"/>
    </row>
    <row r="136" spans="1:4" outlineLevel="1">
      <c r="A136" s="16" t="s">
        <v>70</v>
      </c>
      <c r="B136" s="37"/>
      <c r="C136" s="38"/>
      <c r="D136" s="38"/>
    </row>
    <row r="137" spans="1:4" outlineLevel="1">
      <c r="A137" s="17" t="s">
        <v>44</v>
      </c>
      <c r="B137" s="39" t="s">
        <v>71</v>
      </c>
      <c r="C137" s="40" t="s">
        <v>72</v>
      </c>
      <c r="D137" s="19" t="s">
        <v>73</v>
      </c>
    </row>
    <row r="138" spans="1:4" outlineLevel="1">
      <c r="A138" s="28"/>
      <c r="B138" s="21"/>
      <c r="C138" s="100"/>
      <c r="D138" s="100"/>
    </row>
    <row r="139" spans="1:4" outlineLevel="1">
      <c r="A139" s="73"/>
      <c r="B139" s="81"/>
      <c r="C139" s="100"/>
      <c r="D139" s="100"/>
    </row>
    <row r="140" spans="1:4">
      <c r="A140" s="88"/>
      <c r="B140" s="72"/>
      <c r="C140" s="72"/>
      <c r="D140" s="89"/>
    </row>
    <row r="141" spans="1:4" ht="17.45" thickBot="1">
      <c r="A141" s="104" t="s">
        <v>83</v>
      </c>
      <c r="B141" s="104"/>
      <c r="C141" s="104"/>
      <c r="D141" s="104"/>
    </row>
    <row r="142" spans="1:4" outlineLevel="1">
      <c r="A142" s="41"/>
      <c r="B142" s="41"/>
      <c r="C142" s="41"/>
      <c r="D142" s="41"/>
    </row>
    <row r="143" spans="1:4" outlineLevel="1">
      <c r="A143" s="42" t="s">
        <v>79</v>
      </c>
      <c r="B143" s="42"/>
      <c r="C143" s="42"/>
      <c r="D143" s="67" t="s">
        <v>21</v>
      </c>
    </row>
    <row r="144" spans="1:4" outlineLevel="1">
      <c r="A144" s="43" t="s">
        <v>22</v>
      </c>
      <c r="B144" s="44" t="s">
        <v>23</v>
      </c>
      <c r="C144" s="44" t="s">
        <v>24</v>
      </c>
      <c r="D144" s="45" t="s">
        <v>25</v>
      </c>
    </row>
    <row r="145" spans="1:4" ht="40.15" outlineLevel="1">
      <c r="A145" s="46" t="s">
        <v>34</v>
      </c>
      <c r="B145" s="47" t="s">
        <v>41</v>
      </c>
      <c r="C145" s="48" t="s">
        <v>42</v>
      </c>
      <c r="D145" s="49" t="s">
        <v>42</v>
      </c>
    </row>
    <row r="146" spans="1:4" ht="40.15" outlineLevel="1">
      <c r="A146" s="46"/>
      <c r="B146" s="47" t="s">
        <v>41</v>
      </c>
      <c r="C146" s="48" t="s">
        <v>42</v>
      </c>
      <c r="D146" s="49" t="s">
        <v>42</v>
      </c>
    </row>
    <row r="147" spans="1:4" ht="40.15" outlineLevel="1">
      <c r="A147" s="46"/>
      <c r="B147" s="47" t="s">
        <v>41</v>
      </c>
      <c r="C147" s="48" t="s">
        <v>42</v>
      </c>
      <c r="D147" s="49" t="s">
        <v>42</v>
      </c>
    </row>
    <row r="148" spans="1:4" ht="40.15" outlineLevel="1">
      <c r="A148" s="46"/>
      <c r="B148" s="47" t="s">
        <v>41</v>
      </c>
      <c r="C148" s="48" t="s">
        <v>42</v>
      </c>
      <c r="D148" s="49" t="s">
        <v>42</v>
      </c>
    </row>
    <row r="149" spans="1:4" ht="40.15" outlineLevel="1">
      <c r="A149" s="50"/>
      <c r="B149" s="51" t="s">
        <v>41</v>
      </c>
      <c r="C149" s="52" t="s">
        <v>42</v>
      </c>
      <c r="D149" s="53" t="s">
        <v>42</v>
      </c>
    </row>
    <row r="150" spans="1:4" outlineLevel="1">
      <c r="A150" s="41"/>
      <c r="B150" s="41"/>
      <c r="C150" s="41"/>
      <c r="D150" s="41"/>
    </row>
    <row r="151" spans="1:4" outlineLevel="1">
      <c r="A151" s="42" t="s">
        <v>43</v>
      </c>
      <c r="B151" s="42"/>
      <c r="C151" s="42"/>
      <c r="D151" s="42"/>
    </row>
    <row r="152" spans="1:4" outlineLevel="1">
      <c r="A152" s="43" t="s">
        <v>44</v>
      </c>
      <c r="B152" s="44" t="s">
        <v>45</v>
      </c>
      <c r="C152" s="44" t="s">
        <v>46</v>
      </c>
      <c r="D152" s="45" t="s">
        <v>47</v>
      </c>
    </row>
    <row r="153" spans="1:4" outlineLevel="1">
      <c r="A153" s="54"/>
      <c r="B153" s="48"/>
      <c r="C153" s="48"/>
      <c r="D153" s="49"/>
    </row>
    <row r="154" spans="1:4" outlineLevel="1">
      <c r="A154" s="75"/>
      <c r="B154" s="76"/>
      <c r="C154" s="76"/>
      <c r="D154" s="77"/>
    </row>
    <row r="155" spans="1:4" outlineLevel="1">
      <c r="A155" s="85"/>
      <c r="B155" s="86"/>
      <c r="C155" s="86"/>
      <c r="D155" s="87"/>
    </row>
    <row r="156" spans="1:4" outlineLevel="1">
      <c r="A156" s="93" t="s">
        <v>50</v>
      </c>
      <c r="B156" s="94"/>
      <c r="C156" s="94"/>
      <c r="D156" s="95"/>
    </row>
    <row r="157" spans="1:4" outlineLevel="1">
      <c r="A157" s="90" t="s">
        <v>0</v>
      </c>
      <c r="B157" s="91" t="s">
        <v>51</v>
      </c>
      <c r="C157" s="91" t="s">
        <v>52</v>
      </c>
      <c r="D157" s="92" t="s">
        <v>53</v>
      </c>
    </row>
    <row r="158" spans="1:4" outlineLevel="1">
      <c r="A158" s="56" t="s">
        <v>54</v>
      </c>
      <c r="B158" s="57" t="s">
        <v>55</v>
      </c>
      <c r="C158" s="58" t="s">
        <v>63</v>
      </c>
      <c r="D158" s="49"/>
    </row>
    <row r="159" spans="1:4" ht="27" outlineLevel="1">
      <c r="A159" s="56" t="s">
        <v>58</v>
      </c>
      <c r="B159" s="57" t="s">
        <v>59</v>
      </c>
      <c r="C159" s="58" t="s">
        <v>63</v>
      </c>
      <c r="D159" s="49"/>
    </row>
    <row r="160" spans="1:4" outlineLevel="1">
      <c r="A160" s="56" t="s">
        <v>61</v>
      </c>
      <c r="B160" s="57" t="s">
        <v>62</v>
      </c>
      <c r="C160" s="58" t="s">
        <v>63</v>
      </c>
      <c r="D160" s="49"/>
    </row>
    <row r="161" spans="1:4" outlineLevel="1">
      <c r="A161" s="56" t="s">
        <v>64</v>
      </c>
      <c r="B161" s="57" t="s">
        <v>65</v>
      </c>
      <c r="C161" s="58" t="s">
        <v>63</v>
      </c>
      <c r="D161" s="49"/>
    </row>
    <row r="162" spans="1:4" outlineLevel="1">
      <c r="A162" s="55" t="s">
        <v>67</v>
      </c>
      <c r="B162" s="59" t="s">
        <v>68</v>
      </c>
      <c r="C162" s="60" t="s">
        <v>63</v>
      </c>
      <c r="D162" s="53"/>
    </row>
    <row r="163" spans="1:4" outlineLevel="1">
      <c r="A163" s="41"/>
      <c r="B163" s="61"/>
      <c r="C163" s="62"/>
      <c r="D163" s="62"/>
    </row>
    <row r="164" spans="1:4" outlineLevel="1">
      <c r="A164" s="42" t="s">
        <v>70</v>
      </c>
      <c r="B164" s="63"/>
      <c r="C164" s="64"/>
      <c r="D164" s="64"/>
    </row>
    <row r="165" spans="1:4" outlineLevel="1">
      <c r="A165" s="43" t="s">
        <v>44</v>
      </c>
      <c r="B165" s="65" t="s">
        <v>71</v>
      </c>
      <c r="C165" s="66" t="s">
        <v>72</v>
      </c>
      <c r="D165" s="45" t="s">
        <v>73</v>
      </c>
    </row>
    <row r="166" spans="1:4" outlineLevel="1">
      <c r="A166" s="54"/>
      <c r="B166" s="48"/>
      <c r="C166" s="48"/>
      <c r="D166" s="49"/>
    </row>
    <row r="167" spans="1:4" outlineLevel="1">
      <c r="A167" s="79"/>
      <c r="B167" s="80"/>
      <c r="C167" s="76"/>
      <c r="D167" s="77"/>
    </row>
    <row r="168" spans="1:4">
      <c r="A168" s="85"/>
      <c r="B168" s="86"/>
      <c r="C168" s="86"/>
      <c r="D168" s="87"/>
    </row>
    <row r="169" spans="1:4" ht="17.45" thickBot="1">
      <c r="A169" s="105" t="s">
        <v>84</v>
      </c>
      <c r="B169" s="105"/>
      <c r="C169" s="105"/>
      <c r="D169" s="105"/>
    </row>
    <row r="170" spans="1:4" outlineLevel="1">
      <c r="A170" s="15"/>
      <c r="B170" s="15"/>
      <c r="C170" s="15"/>
      <c r="D170" s="15"/>
    </row>
    <row r="171" spans="1:4" outlineLevel="1">
      <c r="A171" s="16" t="s">
        <v>79</v>
      </c>
      <c r="B171" s="16"/>
      <c r="C171" s="16"/>
      <c r="D171" s="67" t="s">
        <v>21</v>
      </c>
    </row>
    <row r="172" spans="1:4" outlineLevel="1">
      <c r="A172" s="17" t="s">
        <v>22</v>
      </c>
      <c r="B172" s="18" t="s">
        <v>23</v>
      </c>
      <c r="C172" s="18" t="s">
        <v>24</v>
      </c>
      <c r="D172" s="19" t="s">
        <v>25</v>
      </c>
    </row>
    <row r="173" spans="1:4" ht="40.15" outlineLevel="1">
      <c r="A173" s="20" t="s">
        <v>34</v>
      </c>
      <c r="B173" s="23" t="s">
        <v>41</v>
      </c>
      <c r="C173" s="21" t="s">
        <v>42</v>
      </c>
      <c r="D173" s="22" t="s">
        <v>42</v>
      </c>
    </row>
    <row r="174" spans="1:4" ht="40.15" outlineLevel="1">
      <c r="A174" s="20"/>
      <c r="B174" s="23" t="s">
        <v>41</v>
      </c>
      <c r="C174" s="21" t="s">
        <v>42</v>
      </c>
      <c r="D174" s="22" t="s">
        <v>42</v>
      </c>
    </row>
    <row r="175" spans="1:4" ht="40.15" outlineLevel="1">
      <c r="A175" s="20"/>
      <c r="B175" s="23" t="s">
        <v>41</v>
      </c>
      <c r="C175" s="21" t="s">
        <v>42</v>
      </c>
      <c r="D175" s="22" t="s">
        <v>42</v>
      </c>
    </row>
    <row r="176" spans="1:4" ht="40.15" outlineLevel="1">
      <c r="A176" s="20"/>
      <c r="B176" s="23" t="s">
        <v>41</v>
      </c>
      <c r="C176" s="21" t="s">
        <v>42</v>
      </c>
      <c r="D176" s="22" t="s">
        <v>42</v>
      </c>
    </row>
    <row r="177" spans="1:4" ht="40.15" outlineLevel="1">
      <c r="A177" s="24"/>
      <c r="B177" s="25" t="s">
        <v>41</v>
      </c>
      <c r="C177" s="26" t="s">
        <v>42</v>
      </c>
      <c r="D177" s="27" t="s">
        <v>42</v>
      </c>
    </row>
    <row r="178" spans="1:4" outlineLevel="1">
      <c r="A178" s="15"/>
      <c r="B178" s="15"/>
      <c r="C178" s="15"/>
      <c r="D178" s="15"/>
    </row>
    <row r="179" spans="1:4" outlineLevel="1">
      <c r="A179" s="16" t="s">
        <v>43</v>
      </c>
      <c r="B179" s="16"/>
      <c r="C179" s="16"/>
      <c r="D179" s="16"/>
    </row>
    <row r="180" spans="1:4" outlineLevel="1">
      <c r="A180" s="17" t="s">
        <v>44</v>
      </c>
      <c r="B180" s="18" t="s">
        <v>45</v>
      </c>
      <c r="C180" s="18" t="s">
        <v>46</v>
      </c>
      <c r="D180" s="19" t="s">
        <v>47</v>
      </c>
    </row>
    <row r="181" spans="1:4" outlineLevel="1">
      <c r="A181" s="28"/>
      <c r="B181" s="21"/>
      <c r="C181" s="21"/>
      <c r="D181" s="22"/>
    </row>
    <row r="182" spans="1:4" outlineLevel="1">
      <c r="A182" s="68"/>
      <c r="B182" s="69"/>
      <c r="C182" s="69"/>
      <c r="D182" s="70"/>
    </row>
    <row r="183" spans="1:4" outlineLevel="1">
      <c r="A183" s="88"/>
      <c r="B183" s="72"/>
      <c r="C183" s="72"/>
      <c r="D183" s="89"/>
    </row>
    <row r="184" spans="1:4" ht="15" outlineLevel="1" thickBot="1">
      <c r="A184" s="71" t="s">
        <v>50</v>
      </c>
      <c r="B184" s="71"/>
      <c r="C184" s="71"/>
      <c r="D184" s="71"/>
    </row>
    <row r="185" spans="1:4" outlineLevel="1">
      <c r="A185" s="17" t="s">
        <v>0</v>
      </c>
      <c r="B185" s="18" t="s">
        <v>51</v>
      </c>
      <c r="C185" s="18" t="s">
        <v>52</v>
      </c>
      <c r="D185" s="19" t="s">
        <v>53</v>
      </c>
    </row>
    <row r="186" spans="1:4" outlineLevel="1">
      <c r="A186" s="30" t="s">
        <v>54</v>
      </c>
      <c r="B186" s="31" t="s">
        <v>55</v>
      </c>
      <c r="C186" s="32" t="s">
        <v>63</v>
      </c>
      <c r="D186" s="22"/>
    </row>
    <row r="187" spans="1:4" ht="27" outlineLevel="1">
      <c r="A187" s="30" t="s">
        <v>58</v>
      </c>
      <c r="B187" s="31" t="s">
        <v>59</v>
      </c>
      <c r="C187" s="32" t="s">
        <v>63</v>
      </c>
      <c r="D187" s="22"/>
    </row>
    <row r="188" spans="1:4" outlineLevel="1">
      <c r="A188" s="30" t="s">
        <v>61</v>
      </c>
      <c r="B188" s="31" t="s">
        <v>62</v>
      </c>
      <c r="C188" s="32" t="s">
        <v>63</v>
      </c>
      <c r="D188" s="22"/>
    </row>
    <row r="189" spans="1:4" outlineLevel="1">
      <c r="A189" s="30" t="s">
        <v>64</v>
      </c>
      <c r="B189" s="31" t="s">
        <v>65</v>
      </c>
      <c r="C189" s="32" t="s">
        <v>63</v>
      </c>
      <c r="D189" s="22"/>
    </row>
    <row r="190" spans="1:4" outlineLevel="1">
      <c r="A190" s="29" t="s">
        <v>67</v>
      </c>
      <c r="B190" s="33" t="s">
        <v>68</v>
      </c>
      <c r="C190" s="34" t="s">
        <v>63</v>
      </c>
      <c r="D190" s="27"/>
    </row>
    <row r="191" spans="1:4" outlineLevel="1">
      <c r="A191" s="15"/>
      <c r="B191" s="35"/>
      <c r="C191" s="36"/>
      <c r="D191" s="36"/>
    </row>
    <row r="192" spans="1:4" outlineLevel="1">
      <c r="A192" s="16" t="s">
        <v>70</v>
      </c>
      <c r="B192" s="37"/>
      <c r="C192" s="38"/>
      <c r="D192" s="38"/>
    </row>
    <row r="193" spans="1:4" outlineLevel="1">
      <c r="A193" s="17" t="s">
        <v>44</v>
      </c>
      <c r="B193" s="39" t="s">
        <v>71</v>
      </c>
      <c r="C193" s="40" t="s">
        <v>72</v>
      </c>
      <c r="D193" s="19" t="s">
        <v>73</v>
      </c>
    </row>
    <row r="194" spans="1:4" outlineLevel="1">
      <c r="A194" s="28"/>
      <c r="B194" s="21"/>
      <c r="C194" s="100"/>
      <c r="D194" s="100"/>
    </row>
    <row r="195" spans="1:4" outlineLevel="1">
      <c r="A195" s="73"/>
      <c r="B195" s="81"/>
      <c r="C195" s="100"/>
      <c r="D195" s="100"/>
    </row>
    <row r="196" spans="1:4">
      <c r="A196" s="88"/>
      <c r="B196" s="72"/>
      <c r="C196" s="72"/>
      <c r="D196" s="89"/>
    </row>
    <row r="197" spans="1:4" ht="17.45" thickBot="1">
      <c r="A197" s="104" t="s">
        <v>85</v>
      </c>
      <c r="B197" s="104"/>
      <c r="C197" s="104"/>
      <c r="D197" s="104"/>
    </row>
    <row r="198" spans="1:4" outlineLevel="1">
      <c r="A198" s="41"/>
      <c r="B198" s="41"/>
      <c r="C198" s="41"/>
      <c r="D198" s="41"/>
    </row>
    <row r="199" spans="1:4" outlineLevel="1">
      <c r="A199" s="42" t="s">
        <v>79</v>
      </c>
      <c r="B199" s="42"/>
      <c r="C199" s="42"/>
      <c r="D199" s="67" t="s">
        <v>21</v>
      </c>
    </row>
    <row r="200" spans="1:4" outlineLevel="1">
      <c r="A200" s="43" t="s">
        <v>22</v>
      </c>
      <c r="B200" s="44" t="s">
        <v>23</v>
      </c>
      <c r="C200" s="44" t="s">
        <v>24</v>
      </c>
      <c r="D200" s="45" t="s">
        <v>25</v>
      </c>
    </row>
    <row r="201" spans="1:4" ht="40.15" outlineLevel="1">
      <c r="A201" s="46" t="s">
        <v>34</v>
      </c>
      <c r="B201" s="47" t="s">
        <v>41</v>
      </c>
      <c r="C201" s="48" t="s">
        <v>42</v>
      </c>
      <c r="D201" s="49" t="s">
        <v>42</v>
      </c>
    </row>
    <row r="202" spans="1:4" ht="40.15" outlineLevel="1">
      <c r="A202" s="46"/>
      <c r="B202" s="47" t="s">
        <v>41</v>
      </c>
      <c r="C202" s="48" t="s">
        <v>42</v>
      </c>
      <c r="D202" s="49" t="s">
        <v>42</v>
      </c>
    </row>
    <row r="203" spans="1:4" ht="40.15" outlineLevel="1">
      <c r="A203" s="46"/>
      <c r="B203" s="47" t="s">
        <v>41</v>
      </c>
      <c r="C203" s="48" t="s">
        <v>42</v>
      </c>
      <c r="D203" s="49" t="s">
        <v>42</v>
      </c>
    </row>
    <row r="204" spans="1:4" ht="40.15" outlineLevel="1">
      <c r="A204" s="46"/>
      <c r="B204" s="47" t="s">
        <v>41</v>
      </c>
      <c r="C204" s="48" t="s">
        <v>42</v>
      </c>
      <c r="D204" s="49" t="s">
        <v>42</v>
      </c>
    </row>
    <row r="205" spans="1:4" ht="40.15" outlineLevel="1">
      <c r="A205" s="50"/>
      <c r="B205" s="51" t="s">
        <v>41</v>
      </c>
      <c r="C205" s="52" t="s">
        <v>42</v>
      </c>
      <c r="D205" s="53" t="s">
        <v>42</v>
      </c>
    </row>
    <row r="206" spans="1:4" outlineLevel="1">
      <c r="A206" s="41"/>
      <c r="B206" s="41"/>
      <c r="C206" s="41"/>
      <c r="D206" s="41"/>
    </row>
    <row r="207" spans="1:4" outlineLevel="1">
      <c r="A207" s="42" t="s">
        <v>43</v>
      </c>
      <c r="B207" s="42"/>
      <c r="C207" s="42"/>
      <c r="D207" s="42"/>
    </row>
    <row r="208" spans="1:4" outlineLevel="1">
      <c r="A208" s="43" t="s">
        <v>44</v>
      </c>
      <c r="B208" s="44" t="s">
        <v>45</v>
      </c>
      <c r="C208" s="44" t="s">
        <v>46</v>
      </c>
      <c r="D208" s="45" t="s">
        <v>47</v>
      </c>
    </row>
    <row r="209" spans="1:4" outlineLevel="1">
      <c r="A209" s="54"/>
      <c r="B209" s="48"/>
      <c r="C209" s="48"/>
      <c r="D209" s="49"/>
    </row>
    <row r="210" spans="1:4" outlineLevel="1">
      <c r="A210" s="75"/>
      <c r="B210" s="76"/>
      <c r="C210" s="76"/>
      <c r="D210" s="77"/>
    </row>
    <row r="211" spans="1:4" outlineLevel="1">
      <c r="A211" s="85"/>
      <c r="B211" s="86"/>
      <c r="C211" s="86"/>
      <c r="D211" s="87"/>
    </row>
    <row r="212" spans="1:4" ht="15" outlineLevel="1" thickBot="1">
      <c r="A212" s="78" t="s">
        <v>50</v>
      </c>
      <c r="B212" s="78"/>
      <c r="C212" s="78"/>
      <c r="D212" s="78"/>
    </row>
    <row r="213" spans="1:4" outlineLevel="1">
      <c r="A213" s="43" t="s">
        <v>0</v>
      </c>
      <c r="B213" s="44" t="s">
        <v>51</v>
      </c>
      <c r="C213" s="44" t="s">
        <v>52</v>
      </c>
      <c r="D213" s="45" t="s">
        <v>53</v>
      </c>
    </row>
    <row r="214" spans="1:4" outlineLevel="1">
      <c r="A214" s="56" t="s">
        <v>54</v>
      </c>
      <c r="B214" s="57" t="s">
        <v>55</v>
      </c>
      <c r="C214" s="58" t="s">
        <v>63</v>
      </c>
      <c r="D214" s="49"/>
    </row>
    <row r="215" spans="1:4" ht="27" outlineLevel="1">
      <c r="A215" s="56" t="s">
        <v>58</v>
      </c>
      <c r="B215" s="57" t="s">
        <v>59</v>
      </c>
      <c r="C215" s="58" t="s">
        <v>63</v>
      </c>
      <c r="D215" s="49"/>
    </row>
    <row r="216" spans="1:4" outlineLevel="1">
      <c r="A216" s="56" t="s">
        <v>61</v>
      </c>
      <c r="B216" s="57" t="s">
        <v>62</v>
      </c>
      <c r="C216" s="58" t="s">
        <v>63</v>
      </c>
      <c r="D216" s="49"/>
    </row>
    <row r="217" spans="1:4" outlineLevel="1">
      <c r="A217" s="56" t="s">
        <v>64</v>
      </c>
      <c r="B217" s="57" t="s">
        <v>65</v>
      </c>
      <c r="C217" s="58" t="s">
        <v>63</v>
      </c>
      <c r="D217" s="49"/>
    </row>
    <row r="218" spans="1:4" ht="15" outlineLevel="1" thickBot="1">
      <c r="A218" s="55" t="s">
        <v>67</v>
      </c>
      <c r="B218" s="59" t="s">
        <v>68</v>
      </c>
      <c r="C218" s="60" t="s">
        <v>63</v>
      </c>
      <c r="D218" s="53"/>
    </row>
    <row r="219" spans="1:4" outlineLevel="1">
      <c r="A219" s="41"/>
      <c r="B219" s="61"/>
      <c r="C219" s="62"/>
      <c r="D219" s="62"/>
    </row>
    <row r="220" spans="1:4" outlineLevel="1">
      <c r="A220" s="42" t="s">
        <v>70</v>
      </c>
      <c r="B220" s="63"/>
      <c r="C220" s="64"/>
      <c r="D220" s="64"/>
    </row>
    <row r="221" spans="1:4" outlineLevel="1">
      <c r="A221" s="43" t="s">
        <v>44</v>
      </c>
      <c r="B221" s="65" t="s">
        <v>71</v>
      </c>
      <c r="C221" s="66" t="s">
        <v>72</v>
      </c>
      <c r="D221" s="45" t="s">
        <v>73</v>
      </c>
    </row>
    <row r="222" spans="1:4" outlineLevel="1">
      <c r="A222" s="75"/>
      <c r="B222" s="76"/>
      <c r="C222" s="82"/>
      <c r="D222" s="83"/>
    </row>
    <row r="223" spans="1:4">
      <c r="A223" s="84"/>
      <c r="B223" s="84"/>
      <c r="C223" s="84"/>
      <c r="D223" s="84"/>
    </row>
  </sheetData>
  <mergeCells count="8">
    <mergeCell ref="A141:D141"/>
    <mergeCell ref="A169:D169"/>
    <mergeCell ref="A197:D197"/>
    <mergeCell ref="A1:D1"/>
    <mergeCell ref="A29:D29"/>
    <mergeCell ref="A57:D57"/>
    <mergeCell ref="A85:D85"/>
    <mergeCell ref="A113:D113"/>
  </mergeCells>
  <hyperlinks>
    <hyperlink ref="D3" r:id="rId1" xr:uid="{F564348C-B587-3243-9ED7-19E13A10BC07}"/>
    <hyperlink ref="D31" r:id="rId2" xr:uid="{A977C000-C0AE-3E47-865C-F32977D6A209}"/>
    <hyperlink ref="D59" r:id="rId3" xr:uid="{EEB91566-4339-AC4F-B2A7-BC2165E9167F}"/>
    <hyperlink ref="D87" r:id="rId4" xr:uid="{FBC6F062-9EBF-A343-8473-2489C9AD3AFA}"/>
    <hyperlink ref="D115" r:id="rId5" xr:uid="{717AA659-0F4C-FE40-9CAA-A35C19DE03B3}"/>
    <hyperlink ref="D143" r:id="rId6" xr:uid="{DB9A239D-ADF1-3440-9597-53E584478B7C}"/>
    <hyperlink ref="D171" r:id="rId7" xr:uid="{C1F94042-E623-174C-8B95-FDF1CE98F266}"/>
    <hyperlink ref="D199" r:id="rId8" xr:uid="{BAF917F9-CDF8-C54B-BCFA-A574A846D817}"/>
  </hyperlinks>
  <pageMargins left="0.7" right="0.7" top="0.75" bottom="0.75" header="0.511811023622047" footer="0.511811023622047"/>
  <pageSetup paperSize="9" orientation="portrait" horizontalDpi="300" verticalDpi="300" r:id="rId9"/>
  <tableParts count="32">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Lijsten!$A$1:$A$3</xm:f>
          </x14:formula1>
          <x14:formula2>
            <xm:f>0</xm:f>
          </x14:formula2>
          <xm:sqref>C18:C22 C46:C50 C74:C78 C102:C106 C130:C134 C158:C162 C186:C190 C214:C218</xm:sqref>
        </x14:dataValidation>
        <x14:dataValidation type="list" allowBlank="1" showInputMessage="1" showErrorMessage="1" xr:uid="{00000000-0002-0000-0100-000001000000}">
          <x14:formula1>
            <xm:f>Lijsten!$B$1:$B$4</xm:f>
          </x14:formula1>
          <x14:formula2>
            <xm:f>0</xm:f>
          </x14:formula2>
          <xm:sqref>A5:A9 A33:A37 A61:A65 A89:A93 A117:A121 A145:A149 A173:A177 A201:A205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zoomScaleNormal="100" workbookViewId="0"/>
  </sheetViews>
  <sheetFormatPr defaultColWidth="8.7109375" defaultRowHeight="14.45"/>
  <sheetData>
    <row r="1" spans="1:2" ht="14.25" customHeight="1">
      <c r="A1" t="s">
        <v>63</v>
      </c>
      <c r="B1" t="s">
        <v>34</v>
      </c>
    </row>
    <row r="2" spans="1:2" ht="14.25" customHeight="1">
      <c r="A2" t="s">
        <v>86</v>
      </c>
      <c r="B2" t="s">
        <v>30</v>
      </c>
    </row>
    <row r="3" spans="1:2" ht="14.25" customHeight="1">
      <c r="A3" t="s">
        <v>56</v>
      </c>
      <c r="B3" t="s">
        <v>26</v>
      </c>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DE1CA28ADFD043BA04C177D983A5EF" ma:contentTypeVersion="11" ma:contentTypeDescription="Een nieuw document maken." ma:contentTypeScope="" ma:versionID="8ac726653dc1d0ed5dd3f772d5537388">
  <xsd:schema xmlns:xsd="http://www.w3.org/2001/XMLSchema" xmlns:xs="http://www.w3.org/2001/XMLSchema" xmlns:p="http://schemas.microsoft.com/office/2006/metadata/properties" xmlns:ns3="d9412203-3c5a-4c2c-95a2-0aefde9a17a3" targetNamespace="http://schemas.microsoft.com/office/2006/metadata/properties" ma:root="true" ma:fieldsID="b404b5efcc18a0a3b3ad608bf954af27" ns3:_="">
    <xsd:import namespace="d9412203-3c5a-4c2c-95a2-0aefde9a17a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GenerationTime" minOccurs="0"/>
                <xsd:element ref="ns3:MediaServiceEventHashCode" minOccurs="0"/>
                <xsd:element ref="ns3:MediaLengthInSeconds" minOccurs="0"/>
                <xsd:element ref="ns3:MediaServiceSystemTag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412203-3c5a-4c2c-95a2-0aefde9a17a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9412203-3c5a-4c2c-95a2-0aefde9a17a3" xsi:nil="true"/>
  </documentManagement>
</p:properties>
</file>

<file path=customXml/itemProps1.xml><?xml version="1.0" encoding="utf-8"?>
<ds:datastoreItem xmlns:ds="http://schemas.openxmlformats.org/officeDocument/2006/customXml" ds:itemID="{75941259-F799-4C61-B1EE-2083EA4D8B3D}"/>
</file>

<file path=customXml/itemProps2.xml><?xml version="1.0" encoding="utf-8"?>
<ds:datastoreItem xmlns:ds="http://schemas.openxmlformats.org/officeDocument/2006/customXml" ds:itemID="{D85FCC38-57F5-4156-BF0D-C9D7403B612B}"/>
</file>

<file path=customXml/itemProps3.xml><?xml version="1.0" encoding="utf-8"?>
<ds:datastoreItem xmlns:ds="http://schemas.openxmlformats.org/officeDocument/2006/customXml" ds:itemID="{715E4BEE-F303-4B0F-99C9-45AC19406A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Gert van Hardeveld</dc:creator>
  <cp:keywords/>
  <dc:description/>
  <cp:lastModifiedBy/>
  <cp:revision>0</cp:revision>
  <dcterms:created xsi:type="dcterms:W3CDTF">2026-02-03T10:30:46Z</dcterms:created>
  <dcterms:modified xsi:type="dcterms:W3CDTF">2026-09-26T15:24:08Z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0x0101006DDE1CA28ADFD043BA04C177D983A5EF</vt:lpwstr>
  </property>
  <property fmtid="{D5CDD505-2E9C-101B-9397-08002B2CF9AE}" pid="3" name="MediaServiceImageTags">
    <vt:lpwstr/>
  </property>
</Properties>
</file>